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jay Verma\Desktop\30 day virtual internship\"/>
    </mc:Choice>
  </mc:AlternateContent>
  <xr:revisionPtr revIDLastSave="0" documentId="13_ncr:1_{4FA92246-10E2-40C3-83D9-25B07E21A4A4}" xr6:coauthVersionLast="47" xr6:coauthVersionMax="47" xr10:uidLastSave="{00000000-0000-0000-0000-000000000000}"/>
  <bookViews>
    <workbookView xWindow="-108" yWindow="-108" windowWidth="23256" windowHeight="12576" activeTab="1" xr2:uid="{C884D2D2-603A-4FC4-AE80-7D5EF32C807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" l="1"/>
  <c r="I5" i="2"/>
  <c r="I4" i="2"/>
  <c r="I3" i="2"/>
  <c r="I2" i="2"/>
  <c r="H6" i="2"/>
  <c r="H5" i="2"/>
  <c r="H4" i="2"/>
  <c r="H3" i="2"/>
  <c r="H2" i="2"/>
  <c r="G3" i="2"/>
  <c r="G2" i="2"/>
  <c r="G4" i="2"/>
  <c r="G6" i="2"/>
  <c r="G5" i="2"/>
  <c r="D18" i="1"/>
  <c r="C18" i="1"/>
  <c r="D2" i="2"/>
  <c r="C6" i="2"/>
  <c r="C5" i="2"/>
  <c r="C4" i="2"/>
  <c r="C3" i="2"/>
  <c r="C7" i="2" s="1"/>
  <c r="C2" i="2"/>
  <c r="B6" i="2"/>
  <c r="B5" i="2"/>
  <c r="B4" i="2"/>
  <c r="B3" i="2"/>
  <c r="B2" i="2"/>
  <c r="E17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3" i="1"/>
  <c r="D5" i="2" l="1"/>
  <c r="D6" i="2"/>
  <c r="D4" i="2"/>
  <c r="B7" i="2"/>
  <c r="D3" i="2"/>
  <c r="E18" i="1"/>
  <c r="D7" i="2" l="1"/>
</calcChain>
</file>

<file path=xl/sharedStrings.xml><?xml version="1.0" encoding="utf-8"?>
<sst xmlns="http://schemas.openxmlformats.org/spreadsheetml/2006/main" count="41" uniqueCount="20">
  <si>
    <t>Date</t>
  </si>
  <si>
    <t>Department</t>
  </si>
  <si>
    <t xml:space="preserve">         FinInsight Analytics Pvt. Ltd.</t>
  </si>
  <si>
    <t>Revenue (Rs.)</t>
  </si>
  <si>
    <t>Expenses (Rs.)</t>
  </si>
  <si>
    <t>Profit (Rs.)</t>
  </si>
  <si>
    <t>Sales</t>
  </si>
  <si>
    <t>Marketing</t>
  </si>
  <si>
    <t>IT</t>
  </si>
  <si>
    <t>Operations</t>
  </si>
  <si>
    <t>HR</t>
  </si>
  <si>
    <t>Total Profit</t>
  </si>
  <si>
    <t>Total Revenue</t>
  </si>
  <si>
    <t>Total Expense</t>
  </si>
  <si>
    <t>Grand Total</t>
  </si>
  <si>
    <t>Total Profit(Total Revenue - Total Expenses)</t>
  </si>
  <si>
    <t>Percentage</t>
  </si>
  <si>
    <t>Profit</t>
  </si>
  <si>
    <t>Revenue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</si>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</sst>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indexed="64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3" applyNumberFormat="0" applyFont="0" applyAlignment="0" applyProtection="0"/>
    <xf numFmtId="0" fontId="1" fillId="4" borderId="0" applyNumberFormat="0" applyBorder="0" applyAlignment="0" applyProtection="0"/>
    <xf numFmtId="0" fontId="6" fillId="5" borderId="0" applyNumberFormat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4" fillId="5" borderId="4" xfId="5" applyNumberFormat="1" applyFont="1" applyBorder="1" applyAlignment="1">
      <alignment horizontal="center" vertical="center"/>
    </xf>
    <xf numFmtId="0" fontId="4" fillId="5" borderId="4" xfId="5" applyFont="1" applyBorder="1" applyAlignment="1">
      <alignment horizontal="center" vertical="center"/>
    </xf>
    <xf numFmtId="164" fontId="4" fillId="5" borderId="4" xfId="5" applyNumberFormat="1" applyFont="1" applyBorder="1" applyAlignment="1">
      <alignment horizontal="center" vertical="center"/>
    </xf>
    <xf numFmtId="15" fontId="1" fillId="4" borderId="4" xfId="4" applyNumberFormat="1" applyBorder="1" applyAlignment="1">
      <alignment horizontal="left" vertical="top" wrapText="1"/>
    </xf>
    <xf numFmtId="0" fontId="1" fillId="4" borderId="4" xfId="4" applyBorder="1" applyAlignment="1">
      <alignment horizontal="left" vertical="top" wrapText="1"/>
    </xf>
    <xf numFmtId="164" fontId="1" fillId="4" borderId="4" xfId="4" applyNumberFormat="1" applyBorder="1" applyAlignment="1">
      <alignment horizontal="left" vertical="top" wrapText="1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164" fontId="3" fillId="2" borderId="10" xfId="2" applyNumberFormat="1" applyBorder="1"/>
    <xf numFmtId="164" fontId="0" fillId="3" borderId="11" xfId="3" applyNumberFormat="1" applyFont="1" applyBorder="1"/>
    <xf numFmtId="0" fontId="5" fillId="3" borderId="11" xfId="3" applyFont="1" applyBorder="1"/>
    <xf numFmtId="164" fontId="5" fillId="3" borderId="11" xfId="3" applyNumberFormat="1" applyFont="1" applyBorder="1"/>
    <xf numFmtId="0" fontId="9" fillId="3" borderId="11" xfId="3" applyFont="1" applyBorder="1"/>
    <xf numFmtId="0" fontId="2" fillId="0" borderId="1" xfId="1" applyAlignment="1">
      <alignment horizontal="center" vertical="center"/>
    </xf>
    <xf numFmtId="164" fontId="2" fillId="0" borderId="1" xfId="1" applyNumberFormat="1" applyAlignment="1">
      <alignment horizontal="center" vertical="center"/>
    </xf>
    <xf numFmtId="14" fontId="3" fillId="2" borderId="7" xfId="2" applyNumberFormat="1" applyBorder="1" applyAlignment="1">
      <alignment horizontal="center"/>
    </xf>
    <xf numFmtId="14" fontId="3" fillId="2" borderId="8" xfId="2" applyNumberFormat="1" applyBorder="1" applyAlignment="1">
      <alignment horizontal="center"/>
    </xf>
    <xf numFmtId="0" fontId="7" fillId="6" borderId="7" xfId="0" applyFont="1" applyFill="1" applyBorder="1" applyAlignment="1">
      <alignment vertical="center"/>
    </xf>
    <xf numFmtId="0" fontId="7" fillId="6" borderId="8" xfId="0" applyFont="1" applyFill="1" applyBorder="1" applyAlignment="1">
      <alignment vertical="center"/>
    </xf>
    <xf numFmtId="0" fontId="7" fillId="6" borderId="9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4" fontId="3" fillId="2" borderId="8" xfId="2" applyNumberFormat="1" applyBorder="1" applyAlignment="1"/>
    <xf numFmtId="9" fontId="0" fillId="0" borderId="4" xfId="6" applyFont="1" applyBorder="1"/>
    <xf numFmtId="9" fontId="11" fillId="0" borderId="4" xfId="6" applyFont="1" applyBorder="1"/>
    <xf numFmtId="9" fontId="5" fillId="0" borderId="4" xfId="6" applyFont="1" applyBorder="1"/>
  </cellXfs>
  <cellStyles count="7">
    <cellStyle name="20% - Accent1" xfId="4" builtinId="30"/>
    <cellStyle name="Accent2" xfId="5" builtinId="33"/>
    <cellStyle name="Heading 2" xfId="1" builtinId="17"/>
    <cellStyle name="Normal" xfId="0" builtinId="0"/>
    <cellStyle name="Note" xfId="3" builtinId="10"/>
    <cellStyle name="Output" xfId="2" builtinId="21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Department-Wise 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Sheet2!$D$1</c:f>
              <c:strCache>
                <c:ptCount val="1"/>
                <c:pt idx="0">
                  <c:v>Total Profit(Total Revenue - Total Expenses)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Sheet2!$A$2:$A$7</c15:sqref>
                  </c15:fullRef>
                </c:ext>
              </c:extLst>
              <c:f>Sheet2!$A$2:$A$6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Operations</c:v>
                </c:pt>
                <c:pt idx="4">
                  <c:v>HR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Sheet2!$D$2:$D$7</c15:sqref>
                  </c15:fullRef>
                </c:ext>
              </c:extLst>
              <c:f>Sheet2!$D$2:$D$6</c:f>
              <c:numCache>
                <c:formatCode>_ [$₹-4009]\ * #,##0.00_ ;_ [$₹-4009]\ * \-#,##0.00_ ;_ [$₹-4009]\ * "-"??_ ;_ @_ </c:formatCode>
                <c:ptCount val="5"/>
                <c:pt idx="0">
                  <c:v>255000</c:v>
                </c:pt>
                <c:pt idx="1">
                  <c:v>170000</c:v>
                </c:pt>
                <c:pt idx="2">
                  <c:v>300000</c:v>
                </c:pt>
                <c:pt idx="3">
                  <c:v>235000</c:v>
                </c:pt>
                <c:pt idx="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6E-402A-802F-63B7A5436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826927"/>
        <c:axId val="10528173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Sheet2!$B$1</c15:sqref>
                        </c15:formulaRef>
                      </c:ext>
                    </c:extLst>
                    <c:strCache>
                      <c:ptCount val="1"/>
                      <c:pt idx="0">
                        <c:v> Total Revenue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Sheet2!$A$2:$A$7</c15:sqref>
                        </c15:fullRef>
                        <c15:formulaRef>
                          <c15:sqref>Sheet2!$A$2:$A$6</c15:sqref>
                        </c15:formulaRef>
                      </c:ext>
                    </c:extLst>
                    <c:strCache>
                      <c:ptCount val="5"/>
                      <c:pt idx="0">
                        <c:v>Sales</c:v>
                      </c:pt>
                      <c:pt idx="1">
                        <c:v>Marketing</c:v>
                      </c:pt>
                      <c:pt idx="2">
                        <c:v>IT</c:v>
                      </c:pt>
                      <c:pt idx="3">
                        <c:v>Operations</c:v>
                      </c:pt>
                      <c:pt idx="4">
                        <c:v>HR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Sheet2!$B$2:$B$7</c15:sqref>
                        </c15:fullRef>
                        <c15:formulaRef>
                          <c15:sqref>Sheet2!$B$2:$B$6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5"/>
                      <c:pt idx="0">
                        <c:v>770000</c:v>
                      </c:pt>
                      <c:pt idx="1">
                        <c:v>505000</c:v>
                      </c:pt>
                      <c:pt idx="2">
                        <c:v>1275000</c:v>
                      </c:pt>
                      <c:pt idx="3">
                        <c:v>670000</c:v>
                      </c:pt>
                      <c:pt idx="4">
                        <c:v>235000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36E-402A-802F-63B7A5436DD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Sheet2!$C$1</c15:sqref>
                        </c15:formulaRef>
                      </c:ext>
                    </c:extLst>
                    <c:strCache>
                      <c:ptCount val="1"/>
                      <c:pt idx="0">
                        <c:v> Total Expense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Sheet2!$A$2:$A$7</c15:sqref>
                        </c15:fullRef>
                        <c15:formulaRef>
                          <c15:sqref>Sheet2!$A$2:$A$6</c15:sqref>
                        </c15:formulaRef>
                      </c:ext>
                    </c:extLst>
                    <c:strCache>
                      <c:ptCount val="5"/>
                      <c:pt idx="0">
                        <c:v>Sales</c:v>
                      </c:pt>
                      <c:pt idx="1">
                        <c:v>Marketing</c:v>
                      </c:pt>
                      <c:pt idx="2">
                        <c:v>IT</c:v>
                      </c:pt>
                      <c:pt idx="3">
                        <c:v>Operations</c:v>
                      </c:pt>
                      <c:pt idx="4">
                        <c:v>HR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Sheet2!$C$2:$C$7</c15:sqref>
                        </c15:fullRef>
                        <c15:formulaRef>
                          <c15:sqref>Sheet2!$C$2:$C$6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5"/>
                      <c:pt idx="0">
                        <c:v>515000</c:v>
                      </c:pt>
                      <c:pt idx="1">
                        <c:v>335000</c:v>
                      </c:pt>
                      <c:pt idx="2">
                        <c:v>975000</c:v>
                      </c:pt>
                      <c:pt idx="3">
                        <c:v>435000</c:v>
                      </c:pt>
                      <c:pt idx="4">
                        <c:v>175000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36E-402A-802F-63B7A5436DDE}"/>
                  </c:ext>
                </c:extLst>
              </c15:ser>
            </c15:filteredBarSeries>
          </c:ext>
        </c:extLst>
      </c:barChart>
      <c:catAx>
        <c:axId val="105282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817327"/>
        <c:crosses val="autoZero"/>
        <c:auto val="1"/>
        <c:lblAlgn val="ctr"/>
        <c:lblOffset val="100"/>
        <c:noMultiLvlLbl val="0"/>
      </c:catAx>
      <c:valAx>
        <c:axId val="105281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82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411480</xdr:colOff>
      <xdr:row>0</xdr:row>
      <xdr:rowOff>411480</xdr:rowOff>
    </xdr:to>
    <xdr:pic>
      <xdr:nvPicPr>
        <xdr:cNvPr id="3" name="Graphic 2" descr="Bank with solid fill">
          <a:extLst>
            <a:ext uri="{FF2B5EF4-FFF2-40B4-BE49-F238E27FC236}">
              <a16:creationId xmlns:a16="http://schemas.microsoft.com/office/drawing/2014/main" id="{3D450B4B-DE6B-F544-5B89-E00A14613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411480" cy="411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7</xdr:row>
      <xdr:rowOff>171450</xdr:rowOff>
    </xdr:from>
    <xdr:to>
      <xdr:col>2</xdr:col>
      <xdr:colOff>1447800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71ED6-F7D1-8DBB-8C11-4E48596B8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</xdr:colOff>
      <xdr:row>7</xdr:row>
      <xdr:rowOff>167640</xdr:rowOff>
    </xdr:from>
    <xdr:to>
      <xdr:col>4</xdr:col>
      <xdr:colOff>83820</xdr:colOff>
      <xdr:row>19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3790E76-C597-E98E-C10F-BB2D3F1D23D8}"/>
            </a:ext>
          </a:extLst>
        </xdr:cNvPr>
        <xdr:cNvSpPr txBox="1"/>
      </xdr:nvSpPr>
      <xdr:spPr>
        <a:xfrm>
          <a:off x="4008120" y="1973580"/>
          <a:ext cx="3154680" cy="2072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rgbClr val="FF0000"/>
              </a:solidFill>
            </a:rPr>
            <a:t>Finance Short Summary</a:t>
          </a:r>
          <a:r>
            <a:rPr lang="en-IN" sz="1400" b="1" baseline="0">
              <a:solidFill>
                <a:srgbClr val="FF0000"/>
              </a:solidFill>
            </a:rPr>
            <a:t> report</a:t>
          </a:r>
        </a:p>
        <a:p>
          <a:pPr algn="l"/>
          <a:endParaRPr lang="en-IN" sz="1400" b="1" baseline="0"/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1. </a:t>
          </a:r>
          <a:r>
            <a:rPr lang="en-IN" sz="1200" b="0">
              <a:solidFill>
                <a:schemeClr val="bg2">
                  <a:lumMod val="50000"/>
                </a:schemeClr>
              </a:solidFill>
            </a:rPr>
            <a:t>The company generated a total revenue of          Rs. 35,55,000 during first half of November.</a:t>
          </a: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2. </a:t>
          </a:r>
          <a:r>
            <a:rPr lang="en-IN" sz="1200">
              <a:solidFill>
                <a:schemeClr val="tx2">
                  <a:lumMod val="60000"/>
                  <a:lumOff val="40000"/>
                </a:schemeClr>
              </a:solidFill>
            </a:rPr>
            <a:t>Sales and IT were the top-performing departments, contributing 54%</a:t>
          </a:r>
          <a:r>
            <a:rPr lang="en-IN" sz="1200" baseline="0">
              <a:solidFill>
                <a:schemeClr val="tx2">
                  <a:lumMod val="60000"/>
                  <a:lumOff val="40000"/>
                </a:schemeClr>
              </a:solidFill>
            </a:rPr>
            <a:t> of the profit.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3. </a:t>
          </a:r>
          <a:r>
            <a:rPr lang="en-IN" sz="1200" b="0" baseline="0">
              <a:solidFill>
                <a:schemeClr val="bg2">
                  <a:lumMod val="50000"/>
                </a:schemeClr>
              </a:solidFill>
            </a:rPr>
            <a:t>Marketing and Operations shows moderate growth, while HR had minimal financial activity.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4. </a:t>
          </a:r>
          <a:r>
            <a:rPr lang="en-IN" sz="1200" b="0" baseline="0">
              <a:solidFill>
                <a:schemeClr val="tx2">
                  <a:lumMod val="60000"/>
                  <a:lumOff val="40000"/>
                </a:schemeClr>
              </a:solidFill>
            </a:rPr>
            <a:t>The overall profit margin was approximately 29%.</a:t>
          </a:r>
        </a:p>
        <a:p>
          <a:pPr algn="l"/>
          <a:endParaRPr lang="en-IN" sz="12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E0AF-EDE1-4C8F-8CF0-025AAB17D654}">
  <dimension ref="A1:N18"/>
  <sheetViews>
    <sheetView topLeftCell="A11" workbookViewId="0">
      <selection activeCell="D19" sqref="D19"/>
    </sheetView>
  </sheetViews>
  <sheetFormatPr defaultRowHeight="14.4" x14ac:dyDescent="0.3"/>
  <cols>
    <col min="1" max="1" width="14.109375" style="2" customWidth="1"/>
    <col min="2" max="2" width="13.6640625" customWidth="1"/>
    <col min="3" max="3" width="15.21875" style="1" customWidth="1"/>
    <col min="4" max="4" width="17.6640625" style="1" customWidth="1"/>
    <col min="5" max="5" width="18.5546875" style="1" customWidth="1"/>
  </cols>
  <sheetData>
    <row r="1" spans="1:14" ht="36" customHeight="1" x14ac:dyDescent="0.3">
      <c r="A1" s="20" t="s">
        <v>2</v>
      </c>
      <c r="B1" s="21"/>
      <c r="C1" s="21"/>
      <c r="D1" s="21"/>
      <c r="E1" s="22"/>
      <c r="F1" s="9"/>
      <c r="G1" s="9"/>
      <c r="H1" s="9"/>
      <c r="I1" s="9"/>
      <c r="J1" s="9"/>
      <c r="K1" s="9"/>
      <c r="L1" s="9"/>
      <c r="M1" s="9"/>
      <c r="N1" s="10"/>
    </row>
    <row r="2" spans="1:14" ht="23.4" customHeight="1" x14ac:dyDescent="0.3">
      <c r="A2" s="3" t="s">
        <v>0</v>
      </c>
      <c r="B2" s="4" t="s">
        <v>1</v>
      </c>
      <c r="C2" s="5" t="s">
        <v>3</v>
      </c>
      <c r="D2" s="5" t="s">
        <v>4</v>
      </c>
      <c r="E2" s="5" t="s">
        <v>5</v>
      </c>
    </row>
    <row r="3" spans="1:14" ht="20.399999999999999" customHeight="1" x14ac:dyDescent="0.3">
      <c r="A3" s="6">
        <v>45962</v>
      </c>
      <c r="B3" s="7" t="s">
        <v>6</v>
      </c>
      <c r="C3" s="8">
        <v>240000</v>
      </c>
      <c r="D3" s="8">
        <v>160000</v>
      </c>
      <c r="E3" s="8">
        <f>C3-D3</f>
        <v>80000</v>
      </c>
    </row>
    <row r="4" spans="1:14" ht="20.399999999999999" customHeight="1" x14ac:dyDescent="0.3">
      <c r="A4" s="6">
        <v>45963</v>
      </c>
      <c r="B4" s="7" t="s">
        <v>7</v>
      </c>
      <c r="C4" s="8">
        <v>150000</v>
      </c>
      <c r="D4" s="8">
        <v>105000</v>
      </c>
      <c r="E4" s="8">
        <f t="shared" ref="E4:E16" si="0">C4-D4</f>
        <v>45000</v>
      </c>
    </row>
    <row r="5" spans="1:14" ht="20.399999999999999" customHeight="1" x14ac:dyDescent="0.3">
      <c r="A5" s="6">
        <v>45964</v>
      </c>
      <c r="B5" s="7" t="s">
        <v>8</v>
      </c>
      <c r="C5" s="8">
        <v>310000</v>
      </c>
      <c r="D5" s="8">
        <v>250000</v>
      </c>
      <c r="E5" s="8">
        <f t="shared" si="0"/>
        <v>60000</v>
      </c>
    </row>
    <row r="6" spans="1:14" ht="20.399999999999999" customHeight="1" x14ac:dyDescent="0.3">
      <c r="A6" s="6">
        <v>45965</v>
      </c>
      <c r="B6" s="7" t="s">
        <v>9</v>
      </c>
      <c r="C6" s="8">
        <v>220000</v>
      </c>
      <c r="D6" s="8">
        <v>145000</v>
      </c>
      <c r="E6" s="8">
        <f t="shared" si="0"/>
        <v>75000</v>
      </c>
    </row>
    <row r="7" spans="1:14" ht="20.399999999999999" customHeight="1" x14ac:dyDescent="0.3">
      <c r="A7" s="6">
        <v>45966</v>
      </c>
      <c r="B7" s="7" t="s">
        <v>10</v>
      </c>
      <c r="C7" s="8">
        <v>110000</v>
      </c>
      <c r="D7" s="8">
        <v>85000</v>
      </c>
      <c r="E7" s="8">
        <f t="shared" si="0"/>
        <v>25000</v>
      </c>
    </row>
    <row r="8" spans="1:14" ht="20.399999999999999" customHeight="1" x14ac:dyDescent="0.3">
      <c r="A8" s="6">
        <v>45967</v>
      </c>
      <c r="B8" s="7" t="s">
        <v>6</v>
      </c>
      <c r="C8" s="8">
        <v>270000</v>
      </c>
      <c r="D8" s="8">
        <v>175000</v>
      </c>
      <c r="E8" s="8">
        <f t="shared" si="0"/>
        <v>95000</v>
      </c>
    </row>
    <row r="9" spans="1:14" ht="20.399999999999999" customHeight="1" x14ac:dyDescent="0.3">
      <c r="A9" s="6">
        <v>45968</v>
      </c>
      <c r="B9" s="7" t="s">
        <v>8</v>
      </c>
      <c r="C9" s="8">
        <v>325000</v>
      </c>
      <c r="D9" s="8">
        <v>255000</v>
      </c>
      <c r="E9" s="8">
        <f t="shared" si="0"/>
        <v>70000</v>
      </c>
    </row>
    <row r="10" spans="1:14" ht="20.399999999999999" customHeight="1" x14ac:dyDescent="0.3">
      <c r="A10" s="6">
        <v>45969</v>
      </c>
      <c r="B10" s="7" t="s">
        <v>7</v>
      </c>
      <c r="C10" s="8">
        <v>180000</v>
      </c>
      <c r="D10" s="8">
        <v>120000</v>
      </c>
      <c r="E10" s="8">
        <f t="shared" si="0"/>
        <v>60000</v>
      </c>
    </row>
    <row r="11" spans="1:14" ht="20.399999999999999" customHeight="1" x14ac:dyDescent="0.3">
      <c r="A11" s="6">
        <v>45970</v>
      </c>
      <c r="B11" s="7" t="s">
        <v>9</v>
      </c>
      <c r="C11" s="8">
        <v>240000</v>
      </c>
      <c r="D11" s="8">
        <v>160000</v>
      </c>
      <c r="E11" s="8">
        <f t="shared" si="0"/>
        <v>80000</v>
      </c>
    </row>
    <row r="12" spans="1:14" ht="20.399999999999999" customHeight="1" x14ac:dyDescent="0.3">
      <c r="A12" s="6">
        <v>45971</v>
      </c>
      <c r="B12" s="7" t="s">
        <v>10</v>
      </c>
      <c r="C12" s="8">
        <v>125000</v>
      </c>
      <c r="D12" s="8">
        <v>90000</v>
      </c>
      <c r="E12" s="8">
        <f t="shared" si="0"/>
        <v>35000</v>
      </c>
    </row>
    <row r="13" spans="1:14" ht="20.399999999999999" customHeight="1" x14ac:dyDescent="0.3">
      <c r="A13" s="6">
        <v>45972</v>
      </c>
      <c r="B13" s="7" t="s">
        <v>8</v>
      </c>
      <c r="C13" s="8">
        <v>300000</v>
      </c>
      <c r="D13" s="8">
        <v>210000</v>
      </c>
      <c r="E13" s="8">
        <f t="shared" si="0"/>
        <v>90000</v>
      </c>
    </row>
    <row r="14" spans="1:14" ht="20.399999999999999" customHeight="1" x14ac:dyDescent="0.3">
      <c r="A14" s="6">
        <v>45973</v>
      </c>
      <c r="B14" s="7" t="s">
        <v>6</v>
      </c>
      <c r="C14" s="8">
        <v>260000</v>
      </c>
      <c r="D14" s="8">
        <v>180000</v>
      </c>
      <c r="E14" s="8">
        <f t="shared" si="0"/>
        <v>80000</v>
      </c>
    </row>
    <row r="15" spans="1:14" ht="20.399999999999999" customHeight="1" x14ac:dyDescent="0.3">
      <c r="A15" s="6">
        <v>45974</v>
      </c>
      <c r="B15" s="7" t="s">
        <v>9</v>
      </c>
      <c r="C15" s="8">
        <v>210000</v>
      </c>
      <c r="D15" s="8">
        <v>130000</v>
      </c>
      <c r="E15" s="8">
        <f t="shared" si="0"/>
        <v>80000</v>
      </c>
    </row>
    <row r="16" spans="1:14" ht="20.399999999999999" customHeight="1" x14ac:dyDescent="0.3">
      <c r="A16" s="6">
        <v>45975</v>
      </c>
      <c r="B16" s="7" t="s">
        <v>7</v>
      </c>
      <c r="C16" s="8">
        <v>175000</v>
      </c>
      <c r="D16" s="8">
        <v>110000</v>
      </c>
      <c r="E16" s="8">
        <f t="shared" si="0"/>
        <v>65000</v>
      </c>
    </row>
    <row r="17" spans="1:5" ht="20.399999999999999" customHeight="1" x14ac:dyDescent="0.3">
      <c r="A17" s="6">
        <v>45976</v>
      </c>
      <c r="B17" s="7" t="s">
        <v>8</v>
      </c>
      <c r="C17" s="8">
        <v>340000</v>
      </c>
      <c r="D17" s="8">
        <v>260000</v>
      </c>
      <c r="E17" s="8">
        <f>C17-D17</f>
        <v>80000</v>
      </c>
    </row>
    <row r="18" spans="1:5" x14ac:dyDescent="0.3">
      <c r="A18" s="18" t="s">
        <v>11</v>
      </c>
      <c r="B18" s="19"/>
      <c r="C18" s="24">
        <f>SUM(C3:C17)</f>
        <v>3455000</v>
      </c>
      <c r="D18" s="24">
        <f>SUM(D3:D17)</f>
        <v>2435000</v>
      </c>
      <c r="E18" s="11">
        <f>SUM(E3:E17)</f>
        <v>1020000</v>
      </c>
    </row>
  </sheetData>
  <mergeCells count="2">
    <mergeCell ref="A1:E1"/>
    <mergeCell ref="A18:B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6728-671C-4903-91BA-6D6D718925E0}">
  <dimension ref="A1:I9"/>
  <sheetViews>
    <sheetView tabSelected="1" topLeftCell="C1" workbookViewId="0">
      <selection activeCell="G14" sqref="G14"/>
    </sheetView>
  </sheetViews>
  <sheetFormatPr defaultRowHeight="14.4" x14ac:dyDescent="0.3"/>
  <cols>
    <col min="1" max="1" width="16.5546875" customWidth="1"/>
    <col min="2" max="2" width="19.109375" customWidth="1"/>
    <col min="3" max="3" width="21.88671875" customWidth="1"/>
    <col min="4" max="4" width="45.6640625" customWidth="1"/>
    <col min="6" max="6" width="12.5546875" customWidth="1"/>
  </cols>
  <sheetData>
    <row r="1" spans="1:9" ht="23.4" customHeight="1" thickBot="1" x14ac:dyDescent="0.35">
      <c r="A1" s="16" t="s">
        <v>1</v>
      </c>
      <c r="B1" s="17" t="s">
        <v>12</v>
      </c>
      <c r="C1" s="17" t="s">
        <v>13</v>
      </c>
      <c r="D1" s="16" t="s">
        <v>15</v>
      </c>
      <c r="F1" s="26" t="s">
        <v>16</v>
      </c>
      <c r="G1" s="27" t="s">
        <v>17</v>
      </c>
      <c r="H1" s="27" t="s">
        <v>18</v>
      </c>
      <c r="I1" s="27" t="s">
        <v>19</v>
      </c>
    </row>
    <row r="2" spans="1:9" ht="20.25" customHeight="1" thickTop="1" thickBot="1" x14ac:dyDescent="0.35">
      <c r="A2" s="15" t="s">
        <v>6</v>
      </c>
      <c r="B2" s="12">
        <f>SUMIF(Sheet1!B3:B17,"Sales",Sheet1!C3:C17)</f>
        <v>770000</v>
      </c>
      <c r="C2" s="12">
        <f>SUMIF(Sheet1!B3:B17,"Sales",Sheet1!D3:D17)</f>
        <v>515000</v>
      </c>
      <c r="D2" s="12">
        <f>B2-C2</f>
        <v>255000</v>
      </c>
      <c r="F2" s="27" t="s">
        <v>8</v>
      </c>
      <c r="G2" s="25">
        <f>SUMIF(A$2:A$6,"IT",D$2:D$6)/D$7</f>
        <v>0.29411764705882354</v>
      </c>
      <c r="H2" s="25">
        <f>SUMIF(A$2:A$6,"IT",B$2:B$6)/B$7</f>
        <v>0.36903039073806077</v>
      </c>
      <c r="I2" s="25">
        <f>SUMIF(A$2:A$6,"IT",C$2:C$6)/C$7</f>
        <v>0.40041067761806981</v>
      </c>
    </row>
    <row r="3" spans="1:9" ht="20.25" customHeight="1" thickBot="1" x14ac:dyDescent="0.35">
      <c r="A3" s="15" t="s">
        <v>7</v>
      </c>
      <c r="B3" s="12">
        <f>SUMIF(Sheet1!B4:B18,"Marketing",Sheet1!C4:C18)</f>
        <v>505000</v>
      </c>
      <c r="C3" s="12">
        <f>SUMIF(Sheet1!B4:B18,"Marketing",Sheet1!D4:D18)</f>
        <v>335000</v>
      </c>
      <c r="D3" s="12">
        <f t="shared" ref="D3:D6" si="0">B3-C3</f>
        <v>170000</v>
      </c>
      <c r="F3" s="27" t="s">
        <v>6</v>
      </c>
      <c r="G3" s="25">
        <f>SUMIF(A$2:A$6,"Sales",D$2:D$6)/D$7</f>
        <v>0.25</v>
      </c>
      <c r="H3" s="25">
        <f>SUMIF(A$2:A$6,"Sales",B$2:B$6)/B$7</f>
        <v>0.22286541244573083</v>
      </c>
      <c r="I3" s="25">
        <f>SUMIF(A$2:A$6,"Sales",C$2:C$6)/C$7</f>
        <v>0.21149897330595482</v>
      </c>
    </row>
    <row r="4" spans="1:9" ht="20.25" customHeight="1" thickBot="1" x14ac:dyDescent="0.35">
      <c r="A4" s="15" t="s">
        <v>8</v>
      </c>
      <c r="B4" s="12">
        <f>SUMIF(Sheet1!B5:B19,"IT",Sheet1!C5:C19)</f>
        <v>1275000</v>
      </c>
      <c r="C4" s="12">
        <f>SUMIF(Sheet1!B5:B19,"IT",Sheet1!D5:D19)</f>
        <v>975000</v>
      </c>
      <c r="D4" s="12">
        <f t="shared" si="0"/>
        <v>300000</v>
      </c>
      <c r="F4" s="27" t="s">
        <v>7</v>
      </c>
      <c r="G4" s="25">
        <f>SUMIF(A$2:A$6,"Marketing",D$2:D$6)/D$7</f>
        <v>0.16666666666666666</v>
      </c>
      <c r="H4" s="25">
        <f>SUMIF(A$2:A$6,"Marketing",B$2:B$6)/B$7</f>
        <v>0.14616497829232997</v>
      </c>
      <c r="I4" s="25">
        <f>SUMIF(A$2:A$6,"Marketing",C$2:C$6)/C$7</f>
        <v>0.1375770020533881</v>
      </c>
    </row>
    <row r="5" spans="1:9" ht="20.25" customHeight="1" thickBot="1" x14ac:dyDescent="0.35">
      <c r="A5" s="15" t="s">
        <v>9</v>
      </c>
      <c r="B5" s="12">
        <f>SUMIF(Sheet1!B6:B20,"Operations",Sheet1!C6:C20)</f>
        <v>670000</v>
      </c>
      <c r="C5" s="12">
        <f>SUMIF(Sheet1!B6:B20,"Operations",Sheet1!D6:D20)</f>
        <v>435000</v>
      </c>
      <c r="D5" s="12">
        <f t="shared" si="0"/>
        <v>235000</v>
      </c>
      <c r="F5" s="27" t="s">
        <v>10</v>
      </c>
      <c r="G5" s="25">
        <f>SUMIF(A$2:A$6,"HR",D$2:D$6)/D$7</f>
        <v>5.8823529411764705E-2</v>
      </c>
      <c r="H5" s="25">
        <f>SUMIF(A$2:A$6,"HR",B$2:B$6)/B$7</f>
        <v>6.8017366136034735E-2</v>
      </c>
      <c r="I5" s="25">
        <f>SUMIF(A$2:A$6,"HR",C$2:C$6)/C$7</f>
        <v>7.1868583162217656E-2</v>
      </c>
    </row>
    <row r="6" spans="1:9" ht="20.25" customHeight="1" thickBot="1" x14ac:dyDescent="0.35">
      <c r="A6" s="15" t="s">
        <v>10</v>
      </c>
      <c r="B6" s="12">
        <f>SUMIF(Sheet1!B7:B21,"HR",Sheet1!C7:C21)</f>
        <v>235000</v>
      </c>
      <c r="C6" s="12">
        <f>SUMIF(Sheet1!B7:B21,"HR",Sheet1!D7:D21)</f>
        <v>175000</v>
      </c>
      <c r="D6" s="12">
        <f t="shared" si="0"/>
        <v>60000</v>
      </c>
      <c r="F6" s="27" t="s">
        <v>9</v>
      </c>
      <c r="G6" s="25">
        <f>SUMIF(A$2:A$6,"Operations",D$2:D$6)/D$7</f>
        <v>0.23039215686274508</v>
      </c>
      <c r="H6" s="25">
        <f>SUMIF(A$2:A$6,"Operations",B$2:B$6)/B$7</f>
        <v>0.19392185238784371</v>
      </c>
      <c r="I6" s="25">
        <f>SUMIF(A$2:A$6,"Operations",C$2:C$6)/C$7</f>
        <v>0.17864476386036962</v>
      </c>
    </row>
    <row r="7" spans="1:9" ht="20.25" customHeight="1" thickBot="1" x14ac:dyDescent="0.35">
      <c r="A7" s="13" t="s">
        <v>14</v>
      </c>
      <c r="B7" s="14">
        <f>SUM(B2:B6)</f>
        <v>3455000</v>
      </c>
      <c r="C7" s="14">
        <f>SUM(C2:C6)</f>
        <v>2435000</v>
      </c>
      <c r="D7" s="14">
        <f>SUM(D2:D6)</f>
        <v>1020000</v>
      </c>
    </row>
    <row r="9" spans="1:9" ht="16.8" customHeight="1" x14ac:dyDescent="0.3">
      <c r="D9" s="2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verma</dc:creator>
  <cp:lastModifiedBy>ajay verma</cp:lastModifiedBy>
  <dcterms:created xsi:type="dcterms:W3CDTF">2025-11-08T08:48:38Z</dcterms:created>
  <dcterms:modified xsi:type="dcterms:W3CDTF">2025-11-08T11:21:52Z</dcterms:modified>
</cp:coreProperties>
</file>