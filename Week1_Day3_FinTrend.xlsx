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jay Verma\Desktop\30 day virtual internship\"/>
    </mc:Choice>
  </mc:AlternateContent>
  <xr:revisionPtr revIDLastSave="0" documentId="8_{1079CC00-2F84-44E8-8AFE-B15599D3E520}" xr6:coauthVersionLast="47" xr6:coauthVersionMax="47" xr10:uidLastSave="{00000000-0000-0000-0000-000000000000}"/>
  <bookViews>
    <workbookView xWindow="432" yWindow="444" windowWidth="11472" windowHeight="8964" activeTab="2" xr2:uid="{C884D2D2-603A-4FC4-AE80-7D5EF32C8077}"/>
  </bookViews>
  <sheets>
    <sheet name="Raw Data" sheetId="1" r:id="rId1"/>
    <sheet name="Summary" sheetId="2" r:id="rId2"/>
    <sheet name="charts and insigh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C6" i="2"/>
  <c r="C5" i="2"/>
  <c r="C4" i="2"/>
  <c r="C3" i="2"/>
  <c r="C2" i="2"/>
  <c r="B6" i="2"/>
  <c r="B5" i="2"/>
  <c r="B4" i="2"/>
  <c r="B3" i="2"/>
  <c r="B2" i="2"/>
  <c r="D2" i="2" s="1"/>
  <c r="E16" i="1"/>
  <c r="E3" i="1"/>
  <c r="E4" i="1"/>
  <c r="E5" i="1"/>
  <c r="E6" i="1"/>
  <c r="E7" i="1"/>
  <c r="E9" i="1"/>
  <c r="E10" i="1"/>
  <c r="E11" i="1"/>
  <c r="E12" i="1"/>
  <c r="E13" i="1"/>
  <c r="E14" i="1"/>
  <c r="E15" i="1"/>
  <c r="E2" i="1"/>
  <c r="C7" i="2" l="1"/>
  <c r="D5" i="2"/>
  <c r="D6" i="2"/>
  <c r="D4" i="2"/>
  <c r="B7" i="2"/>
  <c r="D3" i="2"/>
  <c r="D7" i="2" l="1"/>
</calcChain>
</file>

<file path=xl/sharedStrings.xml><?xml version="1.0" encoding="utf-8"?>
<sst xmlns="http://schemas.openxmlformats.org/spreadsheetml/2006/main" count="30" uniqueCount="14">
  <si>
    <t>Date</t>
  </si>
  <si>
    <t>Department</t>
  </si>
  <si>
    <t>Revenue (Rs.)</t>
  </si>
  <si>
    <t>Expenses (Rs.)</t>
  </si>
  <si>
    <t>Profit (Rs.)</t>
  </si>
  <si>
    <t>Sales</t>
  </si>
  <si>
    <t>Marketing</t>
  </si>
  <si>
    <t>IT</t>
  </si>
  <si>
    <t>Operations</t>
  </si>
  <si>
    <t>HR</t>
  </si>
  <si>
    <t>Total Profit</t>
  </si>
  <si>
    <t>Total Revenue</t>
  </si>
  <si>
    <t>Total Expense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</si>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</sst>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0" fontId="1" fillId="2" borderId="2" applyNumberFormat="0" applyFont="0" applyAlignment="0" applyProtection="0"/>
    <xf numFmtId="0" fontId="1" fillId="3" borderId="0" applyNumberFormat="0" applyBorder="0" applyAlignment="0" applyProtection="0"/>
    <xf numFmtId="0" fontId="5" fillId="4" borderId="0" applyNumberFormat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14" fontId="3" fillId="4" borderId="3" xfId="4" applyNumberFormat="1" applyFont="1" applyBorder="1" applyAlignment="1">
      <alignment horizontal="center" vertical="center"/>
    </xf>
    <xf numFmtId="0" fontId="3" fillId="4" borderId="3" xfId="4" applyFont="1" applyBorder="1" applyAlignment="1">
      <alignment horizontal="center" vertical="center"/>
    </xf>
    <xf numFmtId="164" fontId="3" fillId="4" borderId="3" xfId="4" applyNumberFormat="1" applyFont="1" applyBorder="1" applyAlignment="1">
      <alignment horizontal="center" vertical="center"/>
    </xf>
    <xf numFmtId="15" fontId="1" fillId="3" borderId="3" xfId="3" applyNumberFormat="1" applyBorder="1" applyAlignment="1">
      <alignment horizontal="left" vertical="top" wrapText="1"/>
    </xf>
    <xf numFmtId="0" fontId="1" fillId="3" borderId="3" xfId="3" applyBorder="1" applyAlignment="1">
      <alignment horizontal="left" vertical="top" wrapText="1"/>
    </xf>
    <xf numFmtId="164" fontId="1" fillId="3" borderId="3" xfId="3" applyNumberFormat="1" applyBorder="1" applyAlignment="1">
      <alignment horizontal="left" vertical="top" wrapText="1"/>
    </xf>
    <xf numFmtId="164" fontId="0" fillId="2" borderId="4" xfId="2" applyNumberFormat="1" applyFont="1" applyBorder="1"/>
    <xf numFmtId="0" fontId="4" fillId="2" borderId="4" xfId="2" applyFont="1" applyBorder="1"/>
    <xf numFmtId="164" fontId="4" fillId="2" borderId="4" xfId="2" applyNumberFormat="1" applyFont="1" applyBorder="1"/>
    <xf numFmtId="0" fontId="6" fillId="2" borderId="4" xfId="2" applyFont="1" applyBorder="1"/>
    <xf numFmtId="0" fontId="2" fillId="0" borderId="1" xfId="1" applyAlignment="1">
      <alignment horizontal="center" vertical="center"/>
    </xf>
    <xf numFmtId="164" fontId="2" fillId="0" borderId="1" xfId="1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9" fontId="8" fillId="0" borderId="0" xfId="5" applyFont="1" applyBorder="1"/>
    <xf numFmtId="9" fontId="4" fillId="0" borderId="0" xfId="5" applyFont="1" applyBorder="1"/>
    <xf numFmtId="9" fontId="0" fillId="0" borderId="0" xfId="5" applyFont="1" applyBorder="1"/>
  </cellXfs>
  <cellStyles count="6">
    <cellStyle name="20% - Accent1" xfId="3" builtinId="30"/>
    <cellStyle name="Accent2" xfId="4" builtinId="33"/>
    <cellStyle name="Heading 2" xfId="1" builtinId="17"/>
    <cellStyle name="Normal" xfId="0" builtinId="0"/>
    <cellStyle name="Note" xfId="2" builtinId="10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Department-Wise 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Summary!$A$2:$A$7</c15:sqref>
                  </c15:fullRef>
                </c:ext>
              </c:extLst>
              <c:f>Summary!$A$2:$A$6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Summary!$D$2:$D$7</c15:sqref>
                  </c15:fullRef>
                </c:ext>
              </c:extLst>
              <c:f>Summary!$D$2:$D$6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6E-402A-802F-63B7A543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2826927"/>
        <c:axId val="105281732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Summary!$B$1</c15:sqref>
                        </c15:formulaRef>
                      </c:ext>
                    </c:extLst>
                    <c:strCache>
                      <c:ptCount val="1"/>
                      <c:pt idx="0">
                        <c:v> Total Revenue 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Summary!$A$2:$A$7</c15:sqref>
                        </c15:fullRef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Summary!$B$2:$B$7</c15:sqref>
                        </c15:fullRef>
                        <c15:formulaRef>
                          <c15:sqref>Summary!$B$2:$B$6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770000</c:v>
                      </c:pt>
                      <c:pt idx="1">
                        <c:v>505000</c:v>
                      </c:pt>
                      <c:pt idx="2">
                        <c:v>1275000</c:v>
                      </c:pt>
                      <c:pt idx="3">
                        <c:v>670000</c:v>
                      </c:pt>
                      <c:pt idx="4">
                        <c:v>235000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36E-402A-802F-63B7A5436DDE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Summary!$C$1</c15:sqref>
                        </c15:formulaRef>
                      </c:ext>
                    </c:extLst>
                    <c:strCache>
                      <c:ptCount val="1"/>
                      <c:pt idx="0">
                        <c:v> Total Expense 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Summary!$A$2:$A$7</c15:sqref>
                        </c15:fullRef>
                        <c15:formulaRef>
                          <c15:sqref>Summary!$A$2:$A$6</c15:sqref>
                        </c15:formulaRef>
                      </c:ext>
                    </c:extLst>
                    <c:strCache>
                      <c:ptCount val="5"/>
                      <c:pt idx="0">
                        <c:v>Sales</c:v>
                      </c:pt>
                      <c:pt idx="1">
                        <c:v>Marketing</c:v>
                      </c:pt>
                      <c:pt idx="2">
                        <c:v>IT</c:v>
                      </c:pt>
                      <c:pt idx="3">
                        <c:v>Operations</c:v>
                      </c:pt>
                      <c:pt idx="4">
                        <c:v>HR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Summary!$C$2:$C$7</c15:sqref>
                        </c15:fullRef>
                        <c15:formulaRef>
                          <c15:sqref>Summary!$C$2:$C$6</c15:sqref>
                        </c15:formulaRef>
                      </c:ext>
                    </c:extLst>
                    <c:numCache>
                      <c:formatCode>_ [$₹-4009]\ * #,##0.00_ ;_ [$₹-4009]\ * \-#,##0.00_ ;_ [$₹-4009]\ * "-"??_ ;_ @_ </c:formatCode>
                      <c:ptCount val="5"/>
                      <c:pt idx="0">
                        <c:v>515000</c:v>
                      </c:pt>
                      <c:pt idx="1">
                        <c:v>335000</c:v>
                      </c:pt>
                      <c:pt idx="2">
                        <c:v>975000</c:v>
                      </c:pt>
                      <c:pt idx="3">
                        <c:v>435000</c:v>
                      </c:pt>
                      <c:pt idx="4">
                        <c:v>175000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36E-402A-802F-63B7A5436DDE}"/>
                  </c:ext>
                </c:extLst>
              </c15:ser>
            </c15:filteredBarSeries>
          </c:ext>
        </c:extLst>
      </c:barChart>
      <c:catAx>
        <c:axId val="1052826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17327"/>
        <c:crosses val="autoZero"/>
        <c:auto val="1"/>
        <c:lblAlgn val="ctr"/>
        <c:lblOffset val="100"/>
        <c:noMultiLvlLbl val="0"/>
      </c:catAx>
      <c:valAx>
        <c:axId val="1052817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26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Daily Profit Trend (Nov 1–15, 2025)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'Raw Data'!$E$1</c:f>
              <c:strCache>
                <c:ptCount val="1"/>
                <c:pt idx="0">
                  <c:v> Profit (Rs.)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'Raw Data'!$A$2:$A$18</c:f>
              <c:numCache>
                <c:formatCode>d\-mmm\-yy</c:formatCode>
                <c:ptCount val="17"/>
                <c:pt idx="0">
                  <c:v>45962</c:v>
                </c:pt>
                <c:pt idx="1">
                  <c:v>45963</c:v>
                </c:pt>
                <c:pt idx="2">
                  <c:v>45964</c:v>
                </c:pt>
                <c:pt idx="3">
                  <c:v>45965</c:v>
                </c:pt>
                <c:pt idx="4">
                  <c:v>45966</c:v>
                </c:pt>
                <c:pt idx="5">
                  <c:v>45967</c:v>
                </c:pt>
                <c:pt idx="6">
                  <c:v>45968</c:v>
                </c:pt>
                <c:pt idx="7">
                  <c:v>45969</c:v>
                </c:pt>
                <c:pt idx="8">
                  <c:v>45970</c:v>
                </c:pt>
                <c:pt idx="9">
                  <c:v>45971</c:v>
                </c:pt>
                <c:pt idx="10">
                  <c:v>45972</c:v>
                </c:pt>
                <c:pt idx="11">
                  <c:v>45973</c:v>
                </c:pt>
                <c:pt idx="12">
                  <c:v>45974</c:v>
                </c:pt>
                <c:pt idx="13">
                  <c:v>45975</c:v>
                </c:pt>
                <c:pt idx="14">
                  <c:v>45976</c:v>
                </c:pt>
              </c:numCache>
            </c:numRef>
          </c:cat>
          <c:val>
            <c:numRef>
              <c:f>'Raw Data'!$E$2:$E$18</c:f>
              <c:numCache>
                <c:formatCode>_ [$₹-4009]\ * #,##0.00_ ;_ [$₹-4009]\ * \-#,##0.00_ ;_ [$₹-4009]\ * "-"??_ ;_ @_ </c:formatCode>
                <c:ptCount val="17"/>
                <c:pt idx="0">
                  <c:v>80000</c:v>
                </c:pt>
                <c:pt idx="1">
                  <c:v>45000</c:v>
                </c:pt>
                <c:pt idx="2">
                  <c:v>60000</c:v>
                </c:pt>
                <c:pt idx="3">
                  <c:v>75000</c:v>
                </c:pt>
                <c:pt idx="4">
                  <c:v>25000</c:v>
                </c:pt>
                <c:pt idx="5">
                  <c:v>95000</c:v>
                </c:pt>
                <c:pt idx="6">
                  <c:v>70000</c:v>
                </c:pt>
                <c:pt idx="7">
                  <c:v>60000</c:v>
                </c:pt>
                <c:pt idx="8">
                  <c:v>80000</c:v>
                </c:pt>
                <c:pt idx="9">
                  <c:v>35000</c:v>
                </c:pt>
                <c:pt idx="10">
                  <c:v>90000</c:v>
                </c:pt>
                <c:pt idx="11">
                  <c:v>80000</c:v>
                </c:pt>
                <c:pt idx="12">
                  <c:v>80000</c:v>
                </c:pt>
                <c:pt idx="13">
                  <c:v>65000</c:v>
                </c:pt>
                <c:pt idx="14">
                  <c:v>80000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5F-4A1B-A319-E376BBD34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1215487"/>
        <c:axId val="1871217407"/>
      </c:lineChart>
      <c:dateAx>
        <c:axId val="1871215487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7407"/>
        <c:crossesAt val="0"/>
        <c:auto val="1"/>
        <c:lblOffset val="100"/>
        <c:baseTimeUnit val="days"/>
      </c:dateAx>
      <c:valAx>
        <c:axId val="187121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215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(Summary!$A$2,Summary!$A$3,Summary!$A$4,Summary!$A$5,Summary!$A$6)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(Summary!$D$2,Summary!$D$3,Summary!$D$4,Summary!$D$5,Summary!$D$6)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E-4AFB-A321-DC91DEF80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196767"/>
        <c:axId val="1871198687"/>
      </c:barChart>
      <c:catAx>
        <c:axId val="187119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8687"/>
        <c:crosses val="autoZero"/>
        <c:auto val="1"/>
        <c:lblAlgn val="ctr"/>
        <c:lblOffset val="100"/>
        <c:noMultiLvlLbl val="0"/>
      </c:catAx>
      <c:valAx>
        <c:axId val="187119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\ * #,##0.00_ ;_ [$₹-4009]\ * \-#,##0.00_ ;_ [$₹-4009]\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9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8000">
          <a:schemeClr val="accent1">
            <a:lumMod val="60000"/>
            <a:lumOff val="40000"/>
          </a:schemeClr>
        </a:gs>
        <a:gs pos="78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path path="rect">
        <a:fillToRect l="100000" t="100000"/>
      </a:path>
      <a:tileRect r="-100000" b="-100000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ysClr val="windowText" lastClr="000000"/>
                </a:solidFill>
              </a:rPr>
              <a:t>% Share of Profit by Department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26127093092793785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55625602179472"/>
          <c:y val="0.17837780694079905"/>
          <c:w val="0.43858990317151736"/>
          <c:h val="0.68590587634878963"/>
        </c:manualLayout>
      </c:layout>
      <c:pieChart>
        <c:varyColors val="1"/>
        <c:ser>
          <c:idx val="0"/>
          <c:order val="0"/>
          <c:tx>
            <c:strRef>
              <c:f>Summary!$D$1</c:f>
              <c:strCache>
                <c:ptCount val="1"/>
                <c:pt idx="0">
                  <c:v>Total 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DC2-4EB5-9189-065111580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DC2-4EB5-9189-065111580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DC2-4EB5-9189-065111580F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DC2-4EB5-9189-065111580F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DC2-4EB5-9189-065111580F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Summary!$A$2:$A$6</c:f>
              <c:strCache>
                <c:ptCount val="5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Operations</c:v>
                </c:pt>
                <c:pt idx="4">
                  <c:v>HR</c:v>
                </c:pt>
              </c:strCache>
            </c:strRef>
          </c:cat>
          <c:val>
            <c:numRef>
              <c:f>(Summary!$D$2,Summary!$D$3,Summary!$D$4,Summary!$D$5,Summary!$D$6)</c:f>
              <c:numCache>
                <c:formatCode>_ [$₹-4009]\ * #,##0.00_ ;_ [$₹-4009]\ * \-#,##0.00_ ;_ [$₹-4009]\ * "-"??_ ;_ @_ </c:formatCode>
                <c:ptCount val="5"/>
                <c:pt idx="0">
                  <c:v>255000</c:v>
                </c:pt>
                <c:pt idx="1">
                  <c:v>170000</c:v>
                </c:pt>
                <c:pt idx="2">
                  <c:v>300000</c:v>
                </c:pt>
                <c:pt idx="3">
                  <c:v>235000</c:v>
                </c:pt>
                <c:pt idx="4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DC2-4EB5-9189-065111580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171450</xdr:rowOff>
    </xdr:from>
    <xdr:to>
      <xdr:col>2</xdr:col>
      <xdr:colOff>1447800</xdr:colOff>
      <xdr:row>23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171ED6-F7D1-8DBB-8C11-4E48596B8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</xdr:colOff>
      <xdr:row>8</xdr:row>
      <xdr:rowOff>15240</xdr:rowOff>
    </xdr:from>
    <xdr:to>
      <xdr:col>6</xdr:col>
      <xdr:colOff>205740</xdr:colOff>
      <xdr:row>19</xdr:row>
      <xdr:rowOff>15240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3790E76-C597-E98E-C10F-BB2D3F1D23D8}"/>
            </a:ext>
          </a:extLst>
        </xdr:cNvPr>
        <xdr:cNvSpPr txBox="1"/>
      </xdr:nvSpPr>
      <xdr:spPr>
        <a:xfrm>
          <a:off x="4008120" y="2004060"/>
          <a:ext cx="3634740" cy="204216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rgbClr val="FF0000"/>
              </a:solidFill>
            </a:rPr>
            <a:t>Finance Short Summary</a:t>
          </a:r>
          <a:r>
            <a:rPr lang="en-IN" sz="1400" b="1" baseline="0">
              <a:solidFill>
                <a:srgbClr val="FF0000"/>
              </a:solidFill>
            </a:rPr>
            <a:t> report</a:t>
          </a:r>
        </a:p>
        <a:p>
          <a:pPr algn="l"/>
          <a:endParaRPr lang="en-IN" sz="1400" b="1" baseline="0"/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1. </a:t>
          </a:r>
          <a:r>
            <a:rPr lang="en-IN" sz="1200" b="0">
              <a:solidFill>
                <a:schemeClr val="bg2">
                  <a:lumMod val="50000"/>
                </a:schemeClr>
              </a:solidFill>
            </a:rPr>
            <a:t>The company generated a total revenue of          Rs. 35,55,000 during first half of November.</a:t>
          </a:r>
        </a:p>
        <a:p>
          <a:pPr algn="l"/>
          <a:r>
            <a:rPr lang="en-IN" sz="1100" b="1">
              <a:solidFill>
                <a:sysClr val="windowText" lastClr="000000"/>
              </a:solidFill>
            </a:rPr>
            <a:t>2. </a:t>
          </a:r>
          <a:r>
            <a:rPr lang="en-IN" sz="1200">
              <a:solidFill>
                <a:schemeClr val="tx2">
                  <a:lumMod val="60000"/>
                  <a:lumOff val="40000"/>
                </a:schemeClr>
              </a:solidFill>
            </a:rPr>
            <a:t>Sales and IT were the top-performing departments, contributing 54%</a:t>
          </a:r>
          <a:r>
            <a:rPr lang="en-IN" sz="1200" baseline="0">
              <a:solidFill>
                <a:schemeClr val="tx2">
                  <a:lumMod val="60000"/>
                  <a:lumOff val="40000"/>
                </a:schemeClr>
              </a:solidFill>
            </a:rPr>
            <a:t> of the profit.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3. </a:t>
          </a:r>
          <a:r>
            <a:rPr lang="en-IN" sz="1200" b="0" baseline="0">
              <a:solidFill>
                <a:schemeClr val="bg2">
                  <a:lumMod val="50000"/>
                </a:schemeClr>
              </a:solidFill>
            </a:rPr>
            <a:t>Marketing and Operations shows moderate growth, while HR had minimal financial activity.</a:t>
          </a:r>
        </a:p>
        <a:p>
          <a:pPr algn="l"/>
          <a:r>
            <a:rPr lang="en-IN" sz="1100" b="1" baseline="0">
              <a:solidFill>
                <a:sysClr val="windowText" lastClr="000000"/>
              </a:solidFill>
            </a:rPr>
            <a:t>4. </a:t>
          </a:r>
          <a:r>
            <a:rPr lang="en-IN" sz="1200" b="0" baseline="0">
              <a:solidFill>
                <a:schemeClr val="tx2">
                  <a:lumMod val="60000"/>
                  <a:lumOff val="40000"/>
                </a:schemeClr>
              </a:solidFill>
            </a:rPr>
            <a:t>The overall profit margin was approximately 29%.</a:t>
          </a:r>
        </a:p>
        <a:p>
          <a:pPr algn="l"/>
          <a:endParaRPr lang="en-IN" sz="12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49530</xdr:rowOff>
    </xdr:from>
    <xdr:to>
      <xdr:col>8</xdr:col>
      <xdr:colOff>15240</xdr:colOff>
      <xdr:row>15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A32DB-0F73-87D6-24C5-C0F61895C7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68580</xdr:colOff>
      <xdr:row>0</xdr:row>
      <xdr:rowOff>49530</xdr:rowOff>
    </xdr:from>
    <xdr:to>
      <xdr:col>15</xdr:col>
      <xdr:colOff>594360</xdr:colOff>
      <xdr:row>15</xdr:row>
      <xdr:rowOff>160020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5A3D643E-C4DF-7F08-6693-0B0CEF15F8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16</xdr:row>
      <xdr:rowOff>11430</xdr:rowOff>
    </xdr:from>
    <xdr:to>
      <xdr:col>7</xdr:col>
      <xdr:colOff>586740</xdr:colOff>
      <xdr:row>31</xdr:row>
      <xdr:rowOff>11430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489F8F25-2920-8C0A-79E5-17B0A2346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</xdr:colOff>
      <xdr:row>16</xdr:row>
      <xdr:rowOff>30480</xdr:rowOff>
    </xdr:from>
    <xdr:to>
      <xdr:col>16</xdr:col>
      <xdr:colOff>0</xdr:colOff>
      <xdr:row>30</xdr:row>
      <xdr:rowOff>175260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67C61A1-AAA1-E014-34FB-4D05B2BD88D8}"/>
            </a:ext>
          </a:extLst>
        </xdr:cNvPr>
        <xdr:cNvSpPr txBox="1"/>
      </xdr:nvSpPr>
      <xdr:spPr>
        <a:xfrm>
          <a:off x="4937760" y="2956560"/>
          <a:ext cx="4815840" cy="270510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/>
            <a:t>SUMMARY</a:t>
          </a:r>
        </a:p>
        <a:p>
          <a:pPr algn="ctr"/>
          <a:endParaRPr lang="en-IN" sz="1400" b="1"/>
        </a:p>
        <a:p>
          <a:pPr algn="l"/>
          <a:r>
            <a:rPr lang="en-IN" sz="1200" i="1"/>
            <a:t>The Daily Profit Trend shows consistent performance with a peak on Nov 06 due to higher Sales revenue and less expense.</a:t>
          </a:r>
          <a:br>
            <a:rPr lang="en-IN" sz="1200" i="1"/>
          </a:br>
          <a:r>
            <a:rPr lang="en-IN" sz="1200" i="1"/>
            <a:t>Department-wise, IT and Sales lead in profitability, together contributing over 54% of total profits.</a:t>
          </a:r>
          <a:br>
            <a:rPr lang="en-IN" sz="1200" i="1"/>
          </a:br>
          <a:r>
            <a:rPr lang="en-IN" sz="1200" i="1"/>
            <a:t>Operations and Marketing has stable returns, while HR contributes minimally due to limited revenue activities.</a:t>
          </a:r>
        </a:p>
        <a:p>
          <a:pPr algn="l"/>
          <a:r>
            <a:rPr lang="en-IN" sz="1200" i="1"/>
            <a:t>The Highest revenue allocated to IT department and it give higher</a:t>
          </a:r>
          <a:r>
            <a:rPr lang="en-IN" sz="1200" i="1" baseline="0"/>
            <a:t> profit.</a:t>
          </a:r>
          <a:br>
            <a:rPr lang="en-IN" sz="1200" i="1"/>
          </a:br>
          <a:r>
            <a:rPr lang="en-IN" sz="1200" i="1"/>
            <a:t>Overall, the company shows strong financial momentum in mid-November.</a:t>
          </a:r>
          <a:endParaRPr lang="en-IN" sz="1200" b="0" i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E0AF-EDE1-4C8F-8CF0-025AAB17D654}">
  <dimension ref="A1:E16"/>
  <sheetViews>
    <sheetView workbookViewId="0">
      <selection activeCell="E7" sqref="E7"/>
    </sheetView>
  </sheetViews>
  <sheetFormatPr defaultRowHeight="14.4" x14ac:dyDescent="0.3"/>
  <cols>
    <col min="1" max="1" width="14.109375" style="2" customWidth="1"/>
    <col min="2" max="2" width="13.6640625" customWidth="1"/>
    <col min="3" max="3" width="15.21875" style="1" customWidth="1"/>
    <col min="4" max="4" width="17.6640625" style="1" customWidth="1"/>
    <col min="5" max="5" width="18.5546875" style="1" customWidth="1"/>
  </cols>
  <sheetData>
    <row r="1" spans="1:5" ht="23.4" customHeight="1" x14ac:dyDescent="0.3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</row>
    <row r="2" spans="1:5" ht="20.399999999999999" customHeight="1" x14ac:dyDescent="0.3">
      <c r="A2" s="6">
        <v>45962</v>
      </c>
      <c r="B2" s="7" t="s">
        <v>5</v>
      </c>
      <c r="C2" s="8">
        <v>240000</v>
      </c>
      <c r="D2" s="8">
        <v>160000</v>
      </c>
      <c r="E2" s="8">
        <f>C2-D2</f>
        <v>80000</v>
      </c>
    </row>
    <row r="3" spans="1:5" ht="20.399999999999999" customHeight="1" x14ac:dyDescent="0.3">
      <c r="A3" s="6">
        <v>45963</v>
      </c>
      <c r="B3" s="7" t="s">
        <v>6</v>
      </c>
      <c r="C3" s="8">
        <v>150000</v>
      </c>
      <c r="D3" s="8">
        <v>105000</v>
      </c>
      <c r="E3" s="8">
        <f t="shared" ref="E3:E15" si="0">C3-D3</f>
        <v>45000</v>
      </c>
    </row>
    <row r="4" spans="1:5" ht="20.399999999999999" customHeight="1" x14ac:dyDescent="0.3">
      <c r="A4" s="6">
        <v>45964</v>
      </c>
      <c r="B4" s="7" t="s">
        <v>7</v>
      </c>
      <c r="C4" s="8">
        <v>310000</v>
      </c>
      <c r="D4" s="8">
        <v>250000</v>
      </c>
      <c r="E4" s="8">
        <f t="shared" si="0"/>
        <v>60000</v>
      </c>
    </row>
    <row r="5" spans="1:5" ht="20.399999999999999" customHeight="1" x14ac:dyDescent="0.3">
      <c r="A5" s="6">
        <v>45965</v>
      </c>
      <c r="B5" s="7" t="s">
        <v>8</v>
      </c>
      <c r="C5" s="8">
        <v>220000</v>
      </c>
      <c r="D5" s="8">
        <v>145000</v>
      </c>
      <c r="E5" s="8">
        <f t="shared" si="0"/>
        <v>75000</v>
      </c>
    </row>
    <row r="6" spans="1:5" ht="20.399999999999999" customHeight="1" x14ac:dyDescent="0.3">
      <c r="A6" s="6">
        <v>45966</v>
      </c>
      <c r="B6" s="7" t="s">
        <v>9</v>
      </c>
      <c r="C6" s="8">
        <v>110000</v>
      </c>
      <c r="D6" s="8">
        <v>85000</v>
      </c>
      <c r="E6" s="8">
        <f t="shared" si="0"/>
        <v>25000</v>
      </c>
    </row>
    <row r="7" spans="1:5" ht="20.399999999999999" customHeight="1" x14ac:dyDescent="0.3">
      <c r="A7" s="6">
        <v>45967</v>
      </c>
      <c r="B7" s="7" t="s">
        <v>5</v>
      </c>
      <c r="C7" s="8">
        <v>270000</v>
      </c>
      <c r="D7" s="8">
        <v>175000</v>
      </c>
      <c r="E7" s="8">
        <f t="shared" si="0"/>
        <v>95000</v>
      </c>
    </row>
    <row r="8" spans="1:5" ht="20.399999999999999" customHeight="1" x14ac:dyDescent="0.3">
      <c r="A8" s="6">
        <v>45968</v>
      </c>
      <c r="B8" s="7" t="s">
        <v>7</v>
      </c>
      <c r="C8" s="8">
        <v>325000</v>
      </c>
      <c r="D8" s="8">
        <v>255000</v>
      </c>
      <c r="E8" s="8">
        <f>C8-D8</f>
        <v>70000</v>
      </c>
    </row>
    <row r="9" spans="1:5" ht="20.399999999999999" customHeight="1" x14ac:dyDescent="0.3">
      <c r="A9" s="6">
        <v>45969</v>
      </c>
      <c r="B9" s="7" t="s">
        <v>6</v>
      </c>
      <c r="C9" s="8">
        <v>180000</v>
      </c>
      <c r="D9" s="8">
        <v>120000</v>
      </c>
      <c r="E9" s="8">
        <f t="shared" si="0"/>
        <v>60000</v>
      </c>
    </row>
    <row r="10" spans="1:5" ht="20.399999999999999" customHeight="1" x14ac:dyDescent="0.3">
      <c r="A10" s="6">
        <v>45970</v>
      </c>
      <c r="B10" s="7" t="s">
        <v>8</v>
      </c>
      <c r="C10" s="8">
        <v>240000</v>
      </c>
      <c r="D10" s="8">
        <v>160000</v>
      </c>
      <c r="E10" s="8">
        <f t="shared" si="0"/>
        <v>80000</v>
      </c>
    </row>
    <row r="11" spans="1:5" ht="20.399999999999999" customHeight="1" x14ac:dyDescent="0.3">
      <c r="A11" s="6">
        <v>45971</v>
      </c>
      <c r="B11" s="7" t="s">
        <v>9</v>
      </c>
      <c r="C11" s="8">
        <v>125000</v>
      </c>
      <c r="D11" s="8">
        <v>90000</v>
      </c>
      <c r="E11" s="8">
        <f t="shared" si="0"/>
        <v>35000</v>
      </c>
    </row>
    <row r="12" spans="1:5" ht="20.399999999999999" customHeight="1" x14ac:dyDescent="0.3">
      <c r="A12" s="6">
        <v>45972</v>
      </c>
      <c r="B12" s="7" t="s">
        <v>7</v>
      </c>
      <c r="C12" s="8">
        <v>300000</v>
      </c>
      <c r="D12" s="8">
        <v>210000</v>
      </c>
      <c r="E12" s="8">
        <f t="shared" si="0"/>
        <v>90000</v>
      </c>
    </row>
    <row r="13" spans="1:5" ht="20.399999999999999" customHeight="1" x14ac:dyDescent="0.3">
      <c r="A13" s="6">
        <v>45973</v>
      </c>
      <c r="B13" s="7" t="s">
        <v>5</v>
      </c>
      <c r="C13" s="8">
        <v>260000</v>
      </c>
      <c r="D13" s="8">
        <v>180000</v>
      </c>
      <c r="E13" s="8">
        <f t="shared" si="0"/>
        <v>80000</v>
      </c>
    </row>
    <row r="14" spans="1:5" ht="20.399999999999999" customHeight="1" x14ac:dyDescent="0.3">
      <c r="A14" s="6">
        <v>45974</v>
      </c>
      <c r="B14" s="7" t="s">
        <v>8</v>
      </c>
      <c r="C14" s="8">
        <v>210000</v>
      </c>
      <c r="D14" s="8">
        <v>130000</v>
      </c>
      <c r="E14" s="8">
        <f t="shared" si="0"/>
        <v>80000</v>
      </c>
    </row>
    <row r="15" spans="1:5" ht="20.399999999999999" customHeight="1" x14ac:dyDescent="0.3">
      <c r="A15" s="6">
        <v>45975</v>
      </c>
      <c r="B15" s="7" t="s">
        <v>6</v>
      </c>
      <c r="C15" s="8">
        <v>175000</v>
      </c>
      <c r="D15" s="8">
        <v>110000</v>
      </c>
      <c r="E15" s="8">
        <f t="shared" si="0"/>
        <v>65000</v>
      </c>
    </row>
    <row r="16" spans="1:5" ht="20.399999999999999" customHeight="1" x14ac:dyDescent="0.3">
      <c r="A16" s="6">
        <v>45976</v>
      </c>
      <c r="B16" s="7" t="s">
        <v>7</v>
      </c>
      <c r="C16" s="8">
        <v>340000</v>
      </c>
      <c r="D16" s="8">
        <v>260000</v>
      </c>
      <c r="E16" s="8">
        <f>C16-D16</f>
        <v>80000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6728-671C-4903-91BA-6D6D718925E0}">
  <dimension ref="A1:H9"/>
  <sheetViews>
    <sheetView workbookViewId="0">
      <selection activeCell="D4" sqref="D4"/>
    </sheetView>
  </sheetViews>
  <sheetFormatPr defaultRowHeight="14.4" x14ac:dyDescent="0.3"/>
  <cols>
    <col min="1" max="1" width="16.5546875" customWidth="1"/>
    <col min="2" max="2" width="19.109375" customWidth="1"/>
    <col min="3" max="3" width="21.88671875" customWidth="1"/>
    <col min="4" max="4" width="20.5546875" customWidth="1"/>
    <col min="5" max="5" width="12.5546875" customWidth="1"/>
  </cols>
  <sheetData>
    <row r="1" spans="1:8" ht="23.4" customHeight="1" thickBot="1" x14ac:dyDescent="0.35">
      <c r="A1" s="13" t="s">
        <v>1</v>
      </c>
      <c r="B1" s="14" t="s">
        <v>11</v>
      </c>
      <c r="C1" s="14" t="s">
        <v>12</v>
      </c>
      <c r="D1" s="13" t="s">
        <v>10</v>
      </c>
      <c r="E1" s="16"/>
      <c r="F1" s="17"/>
      <c r="G1" s="17"/>
      <c r="H1" s="17"/>
    </row>
    <row r="2" spans="1:8" ht="20.25" customHeight="1" thickTop="1" thickBot="1" x14ac:dyDescent="0.35">
      <c r="A2" s="12" t="s">
        <v>5</v>
      </c>
      <c r="B2" s="9">
        <f>SUMIF('Raw Data'!B2:B16,"Sales",'Raw Data'!C2:C16)</f>
        <v>770000</v>
      </c>
      <c r="C2" s="9">
        <f>SUMIF('Raw Data'!B2:B16,"Sales",'Raw Data'!D2:D16)</f>
        <v>515000</v>
      </c>
      <c r="D2" s="9">
        <f>B2-C2</f>
        <v>255000</v>
      </c>
      <c r="E2" s="17"/>
      <c r="F2" s="18"/>
      <c r="G2" s="18"/>
      <c r="H2" s="18"/>
    </row>
    <row r="3" spans="1:8" ht="20.25" customHeight="1" thickBot="1" x14ac:dyDescent="0.35">
      <c r="A3" s="12" t="s">
        <v>6</v>
      </c>
      <c r="B3" s="9">
        <f>SUMIF('Raw Data'!B3:B16,"Marketing",'Raw Data'!C3:C16)</f>
        <v>505000</v>
      </c>
      <c r="C3" s="9">
        <f>SUMIF('Raw Data'!B3:B16,"Marketing",'Raw Data'!D3:D16)</f>
        <v>335000</v>
      </c>
      <c r="D3" s="9">
        <f t="shared" ref="D3:D6" si="0">B3-C3</f>
        <v>170000</v>
      </c>
      <c r="E3" s="17"/>
      <c r="F3" s="18"/>
      <c r="G3" s="18"/>
      <c r="H3" s="18"/>
    </row>
    <row r="4" spans="1:8" ht="20.25" customHeight="1" thickBot="1" x14ac:dyDescent="0.35">
      <c r="A4" s="12" t="s">
        <v>7</v>
      </c>
      <c r="B4" s="9">
        <f>SUMIF('Raw Data'!B4:B17,"IT",'Raw Data'!C4:C17)</f>
        <v>1275000</v>
      </c>
      <c r="C4" s="9">
        <f>SUMIF('Raw Data'!B4:B17,"IT",'Raw Data'!D4:D17)</f>
        <v>975000</v>
      </c>
      <c r="D4" s="9">
        <f t="shared" si="0"/>
        <v>300000</v>
      </c>
      <c r="E4" s="17"/>
      <c r="F4" s="18"/>
      <c r="G4" s="18"/>
      <c r="H4" s="18"/>
    </row>
    <row r="5" spans="1:8" ht="20.25" customHeight="1" thickBot="1" x14ac:dyDescent="0.35">
      <c r="A5" s="12" t="s">
        <v>8</v>
      </c>
      <c r="B5" s="9">
        <f>SUMIF('Raw Data'!B5:B18,"Operations",'Raw Data'!C5:C18)</f>
        <v>670000</v>
      </c>
      <c r="C5" s="9">
        <f>SUMIF('Raw Data'!B5:B18,"Operations",'Raw Data'!D5:D18)</f>
        <v>435000</v>
      </c>
      <c r="D5" s="9">
        <f t="shared" si="0"/>
        <v>235000</v>
      </c>
      <c r="E5" s="17"/>
      <c r="F5" s="18"/>
      <c r="G5" s="18"/>
      <c r="H5" s="18"/>
    </row>
    <row r="6" spans="1:8" ht="20.25" customHeight="1" thickBot="1" x14ac:dyDescent="0.35">
      <c r="A6" s="12" t="s">
        <v>9</v>
      </c>
      <c r="B6" s="9">
        <f>SUMIF('Raw Data'!B6:B19,"HR",'Raw Data'!C6:C19)</f>
        <v>235000</v>
      </c>
      <c r="C6" s="9">
        <f>SUMIF('Raw Data'!B6:B19,"HR",'Raw Data'!D6:D19)</f>
        <v>175000</v>
      </c>
      <c r="D6" s="9">
        <f t="shared" si="0"/>
        <v>60000</v>
      </c>
      <c r="E6" s="17"/>
      <c r="F6" s="18"/>
      <c r="G6" s="18"/>
      <c r="H6" s="18"/>
    </row>
    <row r="7" spans="1:8" ht="20.25" customHeight="1" thickBot="1" x14ac:dyDescent="0.35">
      <c r="A7" s="10" t="s">
        <v>13</v>
      </c>
      <c r="B7" s="11">
        <f>SUM(B2:B6)</f>
        <v>3455000</v>
      </c>
      <c r="C7" s="11">
        <f>SUM(C2:C6)</f>
        <v>2435000</v>
      </c>
      <c r="D7" s="11">
        <f>SUM(D2:D6)</f>
        <v>1020000</v>
      </c>
    </row>
    <row r="9" spans="1:8" ht="16.8" customHeight="1" x14ac:dyDescent="0.3">
      <c r="D9" s="1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FF73-F54B-45DB-85F6-2D8B76279C72}">
  <dimension ref="A1"/>
  <sheetViews>
    <sheetView tabSelected="1" topLeftCell="A10" workbookViewId="0">
      <selection activeCell="S19" sqref="S19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Summary</vt:lpstr>
      <vt:lpstr>charts and 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verma</dc:creator>
  <cp:lastModifiedBy>ajay verma</cp:lastModifiedBy>
  <dcterms:created xsi:type="dcterms:W3CDTF">2025-11-08T08:48:38Z</dcterms:created>
  <dcterms:modified xsi:type="dcterms:W3CDTF">2025-11-09T15:23:12Z</dcterms:modified>
</cp:coreProperties>
</file>