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jay Verma\Desktop\30 day virtual internship\"/>
    </mc:Choice>
  </mc:AlternateContent>
  <xr:revisionPtr revIDLastSave="0" documentId="8_{180B43EE-255C-4490-A49A-6D3F085BEBEE}" xr6:coauthVersionLast="47" xr6:coauthVersionMax="47" xr10:uidLastSave="{00000000-0000-0000-0000-000000000000}"/>
  <bookViews>
    <workbookView xWindow="432" yWindow="444" windowWidth="11472" windowHeight="8964" xr2:uid="{C884D2D2-603A-4FC4-AE80-7D5EF32C8077}"/>
  </bookViews>
  <sheets>
    <sheet name="Raw Data" sheetId="1" r:id="rId1"/>
    <sheet name="Summary" sheetId="2" r:id="rId2"/>
    <sheet name="charts and insigh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C6" i="2"/>
  <c r="H3" i="2" s="1"/>
  <c r="C5" i="2"/>
  <c r="C4" i="2"/>
  <c r="C3" i="2"/>
  <c r="C2" i="2"/>
  <c r="B6" i="2"/>
  <c r="H2" i="2" s="1"/>
  <c r="B5" i="2"/>
  <c r="B4" i="2"/>
  <c r="B3" i="2"/>
  <c r="B2" i="2"/>
  <c r="D2" i="2" s="1"/>
  <c r="E2" i="2" s="1"/>
  <c r="E16" i="1"/>
  <c r="E3" i="1"/>
  <c r="E4" i="1"/>
  <c r="E5" i="1"/>
  <c r="E6" i="1"/>
  <c r="E9" i="1"/>
  <c r="E10" i="1"/>
  <c r="E11" i="1"/>
  <c r="E12" i="1"/>
  <c r="E13" i="1"/>
  <c r="E14" i="1"/>
  <c r="E15" i="1"/>
  <c r="E2" i="1"/>
  <c r="P19" i="5" s="1"/>
  <c r="D4" i="2" l="1"/>
  <c r="E4" i="2" s="1"/>
  <c r="C7" i="2"/>
  <c r="D5" i="2"/>
  <c r="E5" i="2" s="1"/>
  <c r="D6" i="2"/>
  <c r="B7" i="2"/>
  <c r="D3" i="2"/>
  <c r="E3" i="2" s="1"/>
  <c r="E6" i="2" l="1"/>
  <c r="H4" i="2"/>
  <c r="D7" i="2"/>
  <c r="E7" i="2" s="1"/>
  <c r="H5" i="2" l="1"/>
  <c r="P18" i="5"/>
  <c r="P17" i="5"/>
</calcChain>
</file>

<file path=xl/sharedStrings.xml><?xml version="1.0" encoding="utf-8"?>
<sst xmlns="http://schemas.openxmlformats.org/spreadsheetml/2006/main" count="37" uniqueCount="17">
  <si>
    <t>Date</t>
  </si>
  <si>
    <t>Department</t>
  </si>
  <si>
    <t>Revenue (Rs.)</t>
  </si>
  <si>
    <t>Expenses (Rs.)</t>
  </si>
  <si>
    <t>Profit (Rs.)</t>
  </si>
  <si>
    <t>Sales</t>
  </si>
  <si>
    <t>Marketing</t>
  </si>
  <si>
    <t>IT</t>
  </si>
  <si>
    <t>Operations</t>
  </si>
  <si>
    <t>HR</t>
  </si>
  <si>
    <t>Total Profit</t>
  </si>
  <si>
    <t>Total Revenue</t>
  </si>
  <si>
    <t>Total Expense</t>
  </si>
  <si>
    <t>Grand Total</t>
  </si>
  <si>
    <t>Profit Margin %</t>
  </si>
  <si>
    <t>Select Department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</si>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</sst>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  <xf numFmtId="9" fontId="1" fillId="0" borderId="0" applyFont="0" applyFill="0" applyBorder="0" applyAlignment="0" applyProtection="0"/>
    <xf numFmtId="0" fontId="4" fillId="0" borderId="5" applyNumberFormat="0" applyFill="0" applyAlignment="0" applyProtection="0"/>
    <xf numFmtId="0" fontId="1" fillId="5" borderId="0" applyNumberFormat="0" applyBorder="0" applyAlignment="0" applyProtection="0"/>
  </cellStyleXfs>
  <cellXfs count="30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3" fillId="4" borderId="3" xfId="4" applyNumberFormat="1" applyFont="1" applyBorder="1" applyAlignment="1">
      <alignment horizontal="center" vertical="center"/>
    </xf>
    <xf numFmtId="0" fontId="3" fillId="4" borderId="3" xfId="4" applyFont="1" applyBorder="1" applyAlignment="1">
      <alignment horizontal="center" vertical="center"/>
    </xf>
    <xf numFmtId="164" fontId="3" fillId="4" borderId="3" xfId="4" applyNumberFormat="1" applyFont="1" applyBorder="1" applyAlignment="1">
      <alignment horizontal="center" vertical="center"/>
    </xf>
    <xf numFmtId="15" fontId="1" fillId="3" borderId="3" xfId="3" applyNumberFormat="1" applyBorder="1" applyAlignment="1">
      <alignment horizontal="left" vertical="top" wrapText="1"/>
    </xf>
    <xf numFmtId="0" fontId="1" fillId="3" borderId="3" xfId="3" applyBorder="1" applyAlignment="1">
      <alignment horizontal="left" vertical="top" wrapText="1"/>
    </xf>
    <xf numFmtId="164" fontId="1" fillId="3" borderId="3" xfId="3" applyNumberFormat="1" applyBorder="1" applyAlignment="1">
      <alignment horizontal="left" vertical="top" wrapText="1"/>
    </xf>
    <xf numFmtId="164" fontId="0" fillId="2" borderId="4" xfId="2" applyNumberFormat="1" applyFont="1" applyBorder="1"/>
    <xf numFmtId="0" fontId="4" fillId="2" borderId="4" xfId="2" applyFont="1" applyBorder="1"/>
    <xf numFmtId="164" fontId="4" fillId="2" borderId="4" xfId="2" applyNumberFormat="1" applyFont="1" applyBorder="1"/>
    <xf numFmtId="0" fontId="6" fillId="2" borderId="4" xfId="2" applyFont="1" applyBorder="1"/>
    <xf numFmtId="0" fontId="2" fillId="0" borderId="1" xfId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4" fillId="0" borderId="0" xfId="5" applyFont="1" applyBorder="1"/>
    <xf numFmtId="9" fontId="0" fillId="0" borderId="0" xfId="5" applyFont="1" applyBorder="1"/>
    <xf numFmtId="10" fontId="0" fillId="0" borderId="0" xfId="5" applyNumberFormat="1" applyFont="1"/>
    <xf numFmtId="164" fontId="0" fillId="2" borderId="6" xfId="2" applyNumberFormat="1" applyFont="1" applyBorder="1"/>
    <xf numFmtId="164" fontId="4" fillId="2" borderId="6" xfId="2" applyNumberFormat="1" applyFont="1" applyBorder="1"/>
    <xf numFmtId="10" fontId="4" fillId="2" borderId="8" xfId="2" applyNumberFormat="1" applyFont="1" applyBorder="1"/>
    <xf numFmtId="10" fontId="1" fillId="2" borderId="8" xfId="2" applyNumberFormat="1" applyFont="1" applyBorder="1"/>
    <xf numFmtId="10" fontId="2" fillId="0" borderId="7" xfId="5" applyNumberFormat="1" applyFont="1" applyFill="1" applyBorder="1"/>
    <xf numFmtId="0" fontId="0" fillId="0" borderId="0" xfId="0" applyNumberFormat="1"/>
    <xf numFmtId="0" fontId="1" fillId="5" borderId="8" xfId="7" applyNumberFormat="1" applyBorder="1"/>
    <xf numFmtId="0" fontId="1" fillId="5" borderId="8" xfId="7" applyNumberFormat="1" applyBorder="1" applyAlignment="1">
      <alignment horizontal="right"/>
    </xf>
    <xf numFmtId="9" fontId="4" fillId="5" borderId="8" xfId="7" applyNumberFormat="1" applyFont="1" applyBorder="1"/>
    <xf numFmtId="9" fontId="2" fillId="6" borderId="8" xfId="1" applyNumberFormat="1" applyFill="1" applyBorder="1" applyAlignment="1">
      <alignment vertical="center"/>
    </xf>
    <xf numFmtId="9" fontId="4" fillId="6" borderId="8" xfId="6" applyNumberFormat="1" applyFill="1" applyBorder="1" applyAlignment="1">
      <alignment horizontal="center" vertical="center"/>
    </xf>
  </cellXfs>
  <cellStyles count="8">
    <cellStyle name="20% - Accent1" xfId="3" builtinId="30"/>
    <cellStyle name="20% - Accent2" xfId="7" builtinId="34"/>
    <cellStyle name="Accent2" xfId="4" builtinId="33"/>
    <cellStyle name="Heading 2" xfId="1" builtinId="17"/>
    <cellStyle name="Normal" xfId="0" builtinId="0"/>
    <cellStyle name="Note" xfId="2" builtinId="10"/>
    <cellStyle name="Percent" xfId="5" builtinId="5"/>
    <cellStyle name="Total" xfId="6" builtinId="2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Department-Wise 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Summary!$D$1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Summary!$A$2:$A$7</c15:sqref>
                  </c15:fullRef>
                </c:ext>
              </c:extLst>
              <c:f>Summary!$A$2:$A$6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Summary!$D$2:$D$7</c15:sqref>
                  </c15:fullRef>
                </c:ext>
              </c:extLst>
              <c:f>Summary!$D$2:$D$6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E-402A-802F-63B7A5436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826927"/>
        <c:axId val="10528173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Summary!$B$1</c15:sqref>
                        </c15:formulaRef>
                      </c:ext>
                    </c:extLst>
                    <c:strCache>
                      <c:ptCount val="1"/>
                      <c:pt idx="0">
                        <c:v> Total Revenue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Summary!$A$2:$A$7</c15:sqref>
                        </c15:fullRef>
                        <c15:formulaRef>
                          <c15:sqref>Summary!$A$2:$A$6</c15:sqref>
                        </c15:formulaRef>
                      </c:ext>
                    </c:extLst>
                    <c:strCache>
                      <c:ptCount val="5"/>
                      <c:pt idx="0">
                        <c:v>Sales</c:v>
                      </c:pt>
                      <c:pt idx="1">
                        <c:v>Marketing</c:v>
                      </c:pt>
                      <c:pt idx="2">
                        <c:v>IT</c:v>
                      </c:pt>
                      <c:pt idx="3">
                        <c:v>Operations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Summary!$B$2:$B$7</c15:sqref>
                        </c15:fullRef>
                        <c15:formulaRef>
                          <c15:sqref>Summary!$B$2:$B$6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5"/>
                      <c:pt idx="0">
                        <c:v>770000</c:v>
                      </c:pt>
                      <c:pt idx="1">
                        <c:v>505000</c:v>
                      </c:pt>
                      <c:pt idx="2">
                        <c:v>1275000</c:v>
                      </c:pt>
                      <c:pt idx="3">
                        <c:v>670000</c:v>
                      </c:pt>
                      <c:pt idx="4">
                        <c:v>235000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36E-402A-802F-63B7A5436DD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Summary!$C$1</c15:sqref>
                        </c15:formulaRef>
                      </c:ext>
                    </c:extLst>
                    <c:strCache>
                      <c:ptCount val="1"/>
                      <c:pt idx="0">
                        <c:v> Total Expense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Summary!$A$2:$A$7</c15:sqref>
                        </c15:fullRef>
                        <c15:formulaRef>
                          <c15:sqref>Summary!$A$2:$A$6</c15:sqref>
                        </c15:formulaRef>
                      </c:ext>
                    </c:extLst>
                    <c:strCache>
                      <c:ptCount val="5"/>
                      <c:pt idx="0">
                        <c:v>Sales</c:v>
                      </c:pt>
                      <c:pt idx="1">
                        <c:v>Marketing</c:v>
                      </c:pt>
                      <c:pt idx="2">
                        <c:v>IT</c:v>
                      </c:pt>
                      <c:pt idx="3">
                        <c:v>Operations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Summary!$C$2:$C$7</c15:sqref>
                        </c15:fullRef>
                        <c15:formulaRef>
                          <c15:sqref>Summary!$C$2:$C$6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5"/>
                      <c:pt idx="0">
                        <c:v>515000</c:v>
                      </c:pt>
                      <c:pt idx="1">
                        <c:v>335000</c:v>
                      </c:pt>
                      <c:pt idx="2">
                        <c:v>975000</c:v>
                      </c:pt>
                      <c:pt idx="3">
                        <c:v>435000</c:v>
                      </c:pt>
                      <c:pt idx="4">
                        <c:v>175000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36E-402A-802F-63B7A5436DDE}"/>
                  </c:ext>
                </c:extLst>
              </c15:ser>
            </c15:filteredBarSeries>
          </c:ext>
        </c:extLst>
      </c:barChart>
      <c:catAx>
        <c:axId val="10528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17327"/>
        <c:crosses val="autoZero"/>
        <c:auto val="1"/>
        <c:lblAlgn val="ctr"/>
        <c:lblOffset val="100"/>
        <c:noMultiLvlLbl val="0"/>
      </c:catAx>
      <c:valAx>
        <c:axId val="10528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2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Daily Profit Trend (Nov 1–15, 2025)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 Profit (Rs.)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Data'!$A$2:$A$17</c:f>
              <c:numCache>
                <c:formatCode>d\-mmm\-yy</c:formatCode>
                <c:ptCount val="16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</c:numCache>
            </c:numRef>
          </c:cat>
          <c:val>
            <c:numRef>
              <c:f>'Raw Data'!$E$2:$E$17</c:f>
              <c:numCache>
                <c:formatCode>_ [$₹-4009]\ * #,##0.00_ ;_ [$₹-4009]\ * \-#,##0.00_ ;_ [$₹-4009]\ * "-"??_ ;_ @_ </c:formatCode>
                <c:ptCount val="16"/>
                <c:pt idx="0">
                  <c:v>80000</c:v>
                </c:pt>
                <c:pt idx="1">
                  <c:v>45000</c:v>
                </c:pt>
                <c:pt idx="2">
                  <c:v>60000</c:v>
                </c:pt>
                <c:pt idx="3">
                  <c:v>75000</c:v>
                </c:pt>
                <c:pt idx="4">
                  <c:v>25000</c:v>
                </c:pt>
                <c:pt idx="5">
                  <c:v>95000</c:v>
                </c:pt>
                <c:pt idx="6">
                  <c:v>70000</c:v>
                </c:pt>
                <c:pt idx="7">
                  <c:v>60000</c:v>
                </c:pt>
                <c:pt idx="8">
                  <c:v>80000</c:v>
                </c:pt>
                <c:pt idx="9">
                  <c:v>35000</c:v>
                </c:pt>
                <c:pt idx="10">
                  <c:v>90000</c:v>
                </c:pt>
                <c:pt idx="11">
                  <c:v>80000</c:v>
                </c:pt>
                <c:pt idx="12">
                  <c:v>80000</c:v>
                </c:pt>
                <c:pt idx="13">
                  <c:v>65000</c:v>
                </c:pt>
                <c:pt idx="14">
                  <c:v>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F-4A1B-A319-E376BBD3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215487"/>
        <c:axId val="1871217407"/>
      </c:lineChart>
      <c:dateAx>
        <c:axId val="187121548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17407"/>
        <c:crossesAt val="0"/>
        <c:auto val="1"/>
        <c:lblOffset val="100"/>
        <c:baseTimeUnit val="days"/>
      </c:dateAx>
      <c:valAx>
        <c:axId val="18712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1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Profit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21916636414089"/>
          <c:y val="0.16506453048509123"/>
          <c:w val="0.74923525746332076"/>
          <c:h val="0.7316944026856455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Summary!$D$1</c:f>
              <c:strCache>
                <c:ptCount val="1"/>
                <c:pt idx="0">
                  <c:v>Total Profit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87-4D95-9AB9-C5100B0F920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87-4D95-9AB9-C5100B0F920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87-4D95-9AB9-C5100B0F920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087-4D95-9AB9-C5100B0F920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087-4D95-9AB9-C5100B0F9207}"/>
              </c:ext>
            </c:extLst>
          </c:dPt>
          <c:cat>
            <c:strRef>
              <c:f>(Summary!$A$2,Summary!$A$3,Summary!$A$4,Summary!$A$5,Summary!$A$6)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(Summary!$D$2,Summary!$D$3,Summary!$D$4,Summary!$D$5,Summary!$D$6)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E-4AFB-A321-DC91DEF8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196767"/>
        <c:axId val="1871198687"/>
      </c:barChart>
      <c:catAx>
        <c:axId val="18711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98687"/>
        <c:crosses val="autoZero"/>
        <c:auto val="1"/>
        <c:lblAlgn val="ctr"/>
        <c:lblOffset val="100"/>
        <c:noMultiLvlLbl val="0"/>
      </c:catAx>
      <c:valAx>
        <c:axId val="18711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8000">
          <a:schemeClr val="accent1">
            <a:lumMod val="60000"/>
            <a:lumOff val="40000"/>
          </a:schemeClr>
        </a:gs>
        <a:gs pos="78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rect">
        <a:fillToRect l="100000" t="100000"/>
      </a:path>
      <a:tileRect r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% Share of Profit by Department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12709309279378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55625602179472"/>
          <c:y val="0.17837780694079905"/>
          <c:w val="0.43858990317151736"/>
          <c:h val="0.68590587634878963"/>
        </c:manualLayout>
      </c:layout>
      <c:pieChart>
        <c:varyColors val="1"/>
        <c:ser>
          <c:idx val="0"/>
          <c:order val="0"/>
          <c:tx>
            <c:strRef>
              <c:f>Summary!$D$1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C2-4EB5-9189-065111580F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C2-4EB5-9189-065111580F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C2-4EB5-9189-065111580F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C2-4EB5-9189-065111580F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C2-4EB5-9189-065111580F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(Summary!$D$2,Summary!$D$3,Summary!$D$4,Summary!$D$5,Summary!$D$6)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C2-4EB5-9189-06511158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Department-wise Profit Margin Analysis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Summary!$E$1</c:f>
              <c:strCache>
                <c:ptCount val="1"/>
                <c:pt idx="0">
                  <c:v>Profit Margin %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(Summary!$A$2,Summary!$A$3,Summary!$A$4,Summary!$A$5,Summary!$A$6)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(Summary!$E$2,Summary!$E$3,Summary!$E$4,Summary!$E$5,Summary!$E$6)</c:f>
              <c:numCache>
                <c:formatCode>0.00%</c:formatCode>
                <c:ptCount val="5"/>
                <c:pt idx="0">
                  <c:v>0.33116883116883117</c:v>
                </c:pt>
                <c:pt idx="1">
                  <c:v>0.33663366336633666</c:v>
                </c:pt>
                <c:pt idx="2">
                  <c:v>0.23529411764705882</c:v>
                </c:pt>
                <c:pt idx="3">
                  <c:v>0.35074626865671643</c:v>
                </c:pt>
                <c:pt idx="4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7-4E35-9BF0-35637F6E810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77424"/>
        <c:axId val="90178384"/>
      </c:barChart>
      <c:catAx>
        <c:axId val="9017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8384"/>
        <c:crosses val="autoZero"/>
        <c:auto val="1"/>
        <c:lblAlgn val="ctr"/>
        <c:lblOffset val="100"/>
        <c:noMultiLvlLbl val="0"/>
      </c:catAx>
      <c:valAx>
        <c:axId val="9017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594360</xdr:colOff>
      <xdr:row>4</xdr:row>
      <xdr:rowOff>0</xdr:rowOff>
    </xdr:from>
    <xdr:to>
      <xdr:col>10</xdr:col>
      <xdr:colOff>586740</xdr:colOff>
      <xdr:row>6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55C055-ED38-767A-92B5-8FEC0F9FE171}"/>
            </a:ext>
          </a:extLst>
        </xdr:cNvPr>
        <xdr:cNvSpPr txBox="1"/>
      </xdr:nvSpPr>
      <xdr:spPr>
        <a:xfrm>
          <a:off x="8564880" y="1074420"/>
          <a:ext cx="60198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171450</xdr:rowOff>
    </xdr:from>
    <xdr:to>
      <xdr:col>2</xdr:col>
      <xdr:colOff>1447800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71ED6-F7D1-8DBB-8C11-4E48596B8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8</xdr:row>
      <xdr:rowOff>15240</xdr:rowOff>
    </xdr:from>
    <xdr:to>
      <xdr:col>6</xdr:col>
      <xdr:colOff>205740</xdr:colOff>
      <xdr:row>19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790E76-C597-E98E-C10F-BB2D3F1D23D8}"/>
            </a:ext>
          </a:extLst>
        </xdr:cNvPr>
        <xdr:cNvSpPr txBox="1"/>
      </xdr:nvSpPr>
      <xdr:spPr>
        <a:xfrm>
          <a:off x="4008120" y="2004060"/>
          <a:ext cx="3634740" cy="20421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rgbClr val="FF0000"/>
              </a:solidFill>
            </a:rPr>
            <a:t>Finance Short Summary</a:t>
          </a:r>
          <a:r>
            <a:rPr lang="en-IN" sz="1400" b="1" baseline="0">
              <a:solidFill>
                <a:srgbClr val="FF0000"/>
              </a:solidFill>
            </a:rPr>
            <a:t> report</a:t>
          </a:r>
        </a:p>
        <a:p>
          <a:pPr algn="l"/>
          <a:endParaRPr lang="en-IN" sz="1400" b="1" baseline="0"/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1. </a:t>
          </a:r>
          <a:r>
            <a:rPr lang="en-IN" sz="1200" b="0">
              <a:solidFill>
                <a:schemeClr val="bg2">
                  <a:lumMod val="50000"/>
                </a:schemeClr>
              </a:solidFill>
            </a:rPr>
            <a:t>The company generated a total revenue of          Rs. 35,55,000 during first half of November.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2. </a:t>
          </a:r>
          <a:r>
            <a:rPr lang="en-IN" sz="1200">
              <a:solidFill>
                <a:schemeClr val="tx2">
                  <a:lumMod val="60000"/>
                  <a:lumOff val="40000"/>
                </a:schemeClr>
              </a:solidFill>
            </a:rPr>
            <a:t>Sales and IT were the top-performing departments, contributing 54%</a:t>
          </a:r>
          <a:r>
            <a:rPr lang="en-IN" sz="1200" baseline="0">
              <a:solidFill>
                <a:schemeClr val="tx2">
                  <a:lumMod val="60000"/>
                  <a:lumOff val="40000"/>
                </a:schemeClr>
              </a:solidFill>
            </a:rPr>
            <a:t> of the profit.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3. </a:t>
          </a:r>
          <a:r>
            <a:rPr lang="en-IN" sz="1200" b="0" baseline="0">
              <a:solidFill>
                <a:schemeClr val="bg2">
                  <a:lumMod val="50000"/>
                </a:schemeClr>
              </a:solidFill>
            </a:rPr>
            <a:t>Marketing and Operations shows moderate growth, while HR had minimal financial activity.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4. </a:t>
          </a:r>
          <a:r>
            <a:rPr lang="en-IN" sz="1200" b="0" baseline="0">
              <a:solidFill>
                <a:schemeClr val="tx2">
                  <a:lumMod val="60000"/>
                  <a:lumOff val="40000"/>
                </a:schemeClr>
              </a:solidFill>
            </a:rPr>
            <a:t>The overall profit margin was approximately 29%.</a:t>
          </a:r>
        </a:p>
        <a:p>
          <a:pPr algn="l"/>
          <a:endParaRPr lang="en-IN" sz="12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83820</xdr:rowOff>
    </xdr:from>
    <xdr:to>
      <xdr:col>8</xdr:col>
      <xdr:colOff>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A32DB-0F73-87D6-24C5-C0F61895C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525780</xdr:colOff>
      <xdr:row>0</xdr:row>
      <xdr:rowOff>45720</xdr:rowOff>
    </xdr:from>
    <xdr:to>
      <xdr:col>20</xdr:col>
      <xdr:colOff>586740</xdr:colOff>
      <xdr:row>19</xdr:row>
      <xdr:rowOff>7620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A3D643E-C4DF-7F08-6693-0B0CEF15F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</xdr:colOff>
      <xdr:row>18</xdr:row>
      <xdr:rowOff>179070</xdr:rowOff>
    </xdr:from>
    <xdr:to>
      <xdr:col>7</xdr:col>
      <xdr:colOff>571500</xdr:colOff>
      <xdr:row>33</xdr:row>
      <xdr:rowOff>179070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89F8F25-2920-8C0A-79E5-17B0A2346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</xdr:colOff>
      <xdr:row>19</xdr:row>
      <xdr:rowOff>7620</xdr:rowOff>
    </xdr:from>
    <xdr:to>
      <xdr:col>14</xdr:col>
      <xdr:colOff>7620</xdr:colOff>
      <xdr:row>33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7C61A1-AAA1-E014-34FB-4D05B2BD88D8}"/>
            </a:ext>
          </a:extLst>
        </xdr:cNvPr>
        <xdr:cNvSpPr txBox="1"/>
      </xdr:nvSpPr>
      <xdr:spPr>
        <a:xfrm>
          <a:off x="4922520" y="3482340"/>
          <a:ext cx="3619500" cy="27051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/>
            <a:t>SUMMARY</a:t>
          </a:r>
        </a:p>
        <a:p>
          <a:pPr algn="ctr"/>
          <a:endParaRPr lang="en-IN" sz="1400" b="1"/>
        </a:p>
        <a:p>
          <a:pPr algn="l"/>
          <a:r>
            <a:rPr lang="en-IN" sz="1200" i="1"/>
            <a:t>The Daily Profit Trend shows consistent performance with a peak on Nov 06 due to higher Sales revenue and less expense.</a:t>
          </a:r>
          <a:br>
            <a:rPr lang="en-IN" sz="1200" i="1"/>
          </a:br>
          <a:r>
            <a:rPr lang="en-IN" sz="1200" i="1"/>
            <a:t>Department-wise, IT and Sales lead in profitability, together contributing over 54% of total profits.</a:t>
          </a:r>
          <a:br>
            <a:rPr lang="en-IN" sz="1200" i="1"/>
          </a:br>
          <a:r>
            <a:rPr lang="en-IN" sz="1200" i="1"/>
            <a:t>Operations and Marketing has stable returns, while HR contributes minimally due to limited revenue activities.</a:t>
          </a:r>
        </a:p>
        <a:p>
          <a:pPr algn="l"/>
          <a:r>
            <a:rPr lang="en-IN" sz="1200" i="1"/>
            <a:t>The Highest revenue allocated to IT department and it give higher</a:t>
          </a:r>
          <a:r>
            <a:rPr lang="en-IN" sz="1200" i="1" baseline="0"/>
            <a:t> profit.</a:t>
          </a:r>
          <a:br>
            <a:rPr lang="en-IN" sz="1200" i="1"/>
          </a:br>
          <a:r>
            <a:rPr lang="en-IN" sz="1200" i="1"/>
            <a:t>Overall, the company shows strong financial momentum in mid-November.</a:t>
          </a:r>
          <a:endParaRPr lang="en-IN" sz="1200" b="0" i="1"/>
        </a:p>
      </xdr:txBody>
    </xdr:sp>
    <xdr:clientData/>
  </xdr:twoCellAnchor>
  <xdr:twoCellAnchor>
    <xdr:from>
      <xdr:col>8</xdr:col>
      <xdr:colOff>83820</xdr:colOff>
      <xdr:row>0</xdr:row>
      <xdr:rowOff>60960</xdr:rowOff>
    </xdr:from>
    <xdr:to>
      <xdr:col>14</xdr:col>
      <xdr:colOff>411480</xdr:colOff>
      <xdr:row>14</xdr:row>
      <xdr:rowOff>175260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BCBDC252-03E1-B3C4-911C-1173E9851D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121920</xdr:colOff>
      <xdr:row>20</xdr:row>
      <xdr:rowOff>60960</xdr:rowOff>
    </xdr:from>
    <xdr:to>
      <xdr:col>27</xdr:col>
      <xdr:colOff>99060</xdr:colOff>
      <xdr:row>24</xdr:row>
      <xdr:rowOff>129540</xdr:rowOff>
    </xdr:to>
    <xdr:sp macro="" textlink="$R$17">
      <xdr:nvSpPr>
        <xdr:cNvPr id="8" name="TextBox 7">
          <a:extLst>
            <a:ext uri="{FF2B5EF4-FFF2-40B4-BE49-F238E27FC236}">
              <a16:creationId xmlns:a16="http://schemas.microsoft.com/office/drawing/2014/main" id="{78678EEA-DDBB-8BFD-73A6-5757E71D2772}"/>
            </a:ext>
          </a:extLst>
        </xdr:cNvPr>
        <xdr:cNvSpPr txBox="1"/>
      </xdr:nvSpPr>
      <xdr:spPr>
        <a:xfrm>
          <a:off x="14851380" y="3718560"/>
          <a:ext cx="1805940" cy="800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53BEFCB-EB7B-412C-B041-FF958C7E585C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t> </a:t>
          </a:fld>
          <a:endParaRPr lang="en-IN" sz="1100" b="1"/>
        </a:p>
      </xdr:txBody>
    </xdr:sp>
    <xdr:clientData/>
  </xdr:twoCellAnchor>
  <xdr:twoCellAnchor>
    <xdr:from>
      <xdr:col>4</xdr:col>
      <xdr:colOff>472440</xdr:colOff>
      <xdr:row>11</xdr:row>
      <xdr:rowOff>91440</xdr:rowOff>
    </xdr:from>
    <xdr:to>
      <xdr:col>7</xdr:col>
      <xdr:colOff>464820</xdr:colOff>
      <xdr:row>14</xdr:row>
      <xdr:rowOff>175260</xdr:rowOff>
    </xdr:to>
    <xdr:sp macro="" textlink="$P$19">
      <xdr:nvSpPr>
        <xdr:cNvPr id="9" name="TextBox 8">
          <a:extLst>
            <a:ext uri="{FF2B5EF4-FFF2-40B4-BE49-F238E27FC236}">
              <a16:creationId xmlns:a16="http://schemas.microsoft.com/office/drawing/2014/main" id="{E8DA5824-4E6C-D4B0-B1F4-9E7EC9447ED2}"/>
            </a:ext>
          </a:extLst>
        </xdr:cNvPr>
        <xdr:cNvSpPr txBox="1"/>
      </xdr:nvSpPr>
      <xdr:spPr>
        <a:xfrm>
          <a:off x="2910840" y="2103120"/>
          <a:ext cx="1821180" cy="63246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05DFD6-335D-4E1F-8CAF-C54916744BC2}" type="TxLink">
            <a:rPr lang="en-US" sz="1100" b="1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Calibri"/>
              <a:cs typeface="Calibri"/>
            </a:rPr>
            <a:t>💡 Highest profit ₹95000 on 06-Nov. Lowest profit ₹25000 on 05-Nov.</a:t>
          </a:fld>
          <a:endParaRPr lang="en-IN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8</xdr:col>
      <xdr:colOff>91440</xdr:colOff>
      <xdr:row>15</xdr:row>
      <xdr:rowOff>22860</xdr:rowOff>
    </xdr:from>
    <xdr:to>
      <xdr:col>11</xdr:col>
      <xdr:colOff>220980</xdr:colOff>
      <xdr:row>17</xdr:row>
      <xdr:rowOff>144780</xdr:rowOff>
    </xdr:to>
    <xdr:sp macro="" textlink="$P$17">
      <xdr:nvSpPr>
        <xdr:cNvPr id="10" name="TextBox 9">
          <a:extLst>
            <a:ext uri="{FF2B5EF4-FFF2-40B4-BE49-F238E27FC236}">
              <a16:creationId xmlns:a16="http://schemas.microsoft.com/office/drawing/2014/main" id="{6994C8CD-AEE3-7178-8D6C-642E63B120B3}"/>
            </a:ext>
          </a:extLst>
        </xdr:cNvPr>
        <xdr:cNvSpPr txBox="1"/>
      </xdr:nvSpPr>
      <xdr:spPr>
        <a:xfrm>
          <a:off x="4968240" y="2766060"/>
          <a:ext cx="1958340" cy="487680"/>
        </a:xfrm>
        <a:prstGeom prst="rect">
          <a:avLst/>
        </a:prstGeom>
        <a:solidFill>
          <a:schemeClr val="accent6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7DD2D5E-77E0-448F-8EF5-058137E5DE63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t>Top Performer: Operations
Profit margin: 35.07%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228600</xdr:colOff>
      <xdr:row>15</xdr:row>
      <xdr:rowOff>22860</xdr:rowOff>
    </xdr:from>
    <xdr:to>
      <xdr:col>14</xdr:col>
      <xdr:colOff>419100</xdr:colOff>
      <xdr:row>17</xdr:row>
      <xdr:rowOff>137160</xdr:rowOff>
    </xdr:to>
    <xdr:sp macro="" textlink="$P$18">
      <xdr:nvSpPr>
        <xdr:cNvPr id="11" name="TextBox 10">
          <a:extLst>
            <a:ext uri="{FF2B5EF4-FFF2-40B4-BE49-F238E27FC236}">
              <a16:creationId xmlns:a16="http://schemas.microsoft.com/office/drawing/2014/main" id="{27B62F39-1E88-2C30-F10F-D0DEB2054C9A}"/>
            </a:ext>
          </a:extLst>
        </xdr:cNvPr>
        <xdr:cNvSpPr txBox="1"/>
      </xdr:nvSpPr>
      <xdr:spPr>
        <a:xfrm>
          <a:off x="6934200" y="2766060"/>
          <a:ext cx="2019300" cy="480060"/>
        </a:xfrm>
        <a:prstGeom prst="rect">
          <a:avLst/>
        </a:prstGeom>
        <a:solidFill>
          <a:srgbClr val="FF0000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7AE5B46-75A4-4E72-8F35-D2505F618557}" type="TxLink">
            <a:rPr lang="en-US" sz="1200" b="1" i="0" u="none" strike="noStrike">
              <a:solidFill>
                <a:schemeClr val="tx1"/>
              </a:solidFill>
              <a:latin typeface="Calibri"/>
              <a:cs typeface="Calibri"/>
            </a:rPr>
            <a:t>Lowest Performer: IT
Profit margin: 23.53%</a:t>
          </a:fld>
          <a:endParaRPr lang="en-IN" sz="12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E0AF-EDE1-4C8F-8CF0-025AAB17D654}">
  <dimension ref="A1:I16"/>
  <sheetViews>
    <sheetView tabSelected="1" workbookViewId="0">
      <selection activeCell="B19" sqref="B19"/>
    </sheetView>
  </sheetViews>
  <sheetFormatPr defaultRowHeight="14.4" x14ac:dyDescent="0.3"/>
  <cols>
    <col min="1" max="1" width="14.109375" style="2" customWidth="1"/>
    <col min="2" max="2" width="13.6640625" customWidth="1"/>
    <col min="3" max="3" width="15.21875" style="1" customWidth="1"/>
    <col min="4" max="4" width="17.6640625" style="1" customWidth="1"/>
    <col min="5" max="5" width="18.5546875" style="1" customWidth="1"/>
    <col min="9" max="9" width="10.33203125" style="2" bestFit="1" customWidth="1"/>
  </cols>
  <sheetData>
    <row r="1" spans="1:5" ht="23.4" customHeigh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pans="1:5" ht="20.399999999999999" customHeight="1" x14ac:dyDescent="0.3">
      <c r="A2" s="6">
        <v>45962</v>
      </c>
      <c r="B2" s="7" t="s">
        <v>5</v>
      </c>
      <c r="C2" s="8">
        <v>240000</v>
      </c>
      <c r="D2" s="8">
        <v>160000</v>
      </c>
      <c r="E2" s="8">
        <f>C2-D2</f>
        <v>80000</v>
      </c>
    </row>
    <row r="3" spans="1:5" ht="20.399999999999999" customHeight="1" x14ac:dyDescent="0.3">
      <c r="A3" s="6">
        <v>45963</v>
      </c>
      <c r="B3" s="7" t="s">
        <v>6</v>
      </c>
      <c r="C3" s="8">
        <v>150000</v>
      </c>
      <c r="D3" s="8">
        <v>105000</v>
      </c>
      <c r="E3" s="8">
        <f t="shared" ref="E3:E15" si="0">C3-D3</f>
        <v>45000</v>
      </c>
    </row>
    <row r="4" spans="1:5" ht="20.399999999999999" customHeight="1" x14ac:dyDescent="0.3">
      <c r="A4" s="6">
        <v>45964</v>
      </c>
      <c r="B4" s="7" t="s">
        <v>7</v>
      </c>
      <c r="C4" s="8">
        <v>310000</v>
      </c>
      <c r="D4" s="8">
        <v>250000</v>
      </c>
      <c r="E4" s="8">
        <f t="shared" si="0"/>
        <v>60000</v>
      </c>
    </row>
    <row r="5" spans="1:5" ht="20.399999999999999" customHeight="1" x14ac:dyDescent="0.3">
      <c r="A5" s="6">
        <v>45965</v>
      </c>
      <c r="B5" s="7" t="s">
        <v>8</v>
      </c>
      <c r="C5" s="8">
        <v>220000</v>
      </c>
      <c r="D5" s="8">
        <v>145000</v>
      </c>
      <c r="E5" s="8">
        <f t="shared" si="0"/>
        <v>75000</v>
      </c>
    </row>
    <row r="6" spans="1:5" ht="20.399999999999999" customHeight="1" x14ac:dyDescent="0.3">
      <c r="A6" s="6">
        <v>45966</v>
      </c>
      <c r="B6" s="7" t="s">
        <v>9</v>
      </c>
      <c r="C6" s="8">
        <v>110000</v>
      </c>
      <c r="D6" s="8">
        <v>85000</v>
      </c>
      <c r="E6" s="8">
        <f t="shared" si="0"/>
        <v>25000</v>
      </c>
    </row>
    <row r="7" spans="1:5" ht="20.399999999999999" customHeight="1" x14ac:dyDescent="0.3">
      <c r="A7" s="6">
        <v>45967</v>
      </c>
      <c r="B7" s="7" t="s">
        <v>5</v>
      </c>
      <c r="C7" s="8">
        <v>270000</v>
      </c>
      <c r="D7" s="8">
        <v>175000</v>
      </c>
      <c r="E7" s="8">
        <f t="shared" si="0"/>
        <v>95000</v>
      </c>
    </row>
    <row r="8" spans="1:5" ht="20.399999999999999" customHeight="1" x14ac:dyDescent="0.3">
      <c r="A8" s="6">
        <v>45968</v>
      </c>
      <c r="B8" s="7" t="s">
        <v>7</v>
      </c>
      <c r="C8" s="8">
        <v>325000</v>
      </c>
      <c r="D8" s="8">
        <v>255000</v>
      </c>
      <c r="E8" s="8">
        <f>C8-D8</f>
        <v>70000</v>
      </c>
    </row>
    <row r="9" spans="1:5" ht="20.399999999999999" customHeight="1" x14ac:dyDescent="0.3">
      <c r="A9" s="6">
        <v>45969</v>
      </c>
      <c r="B9" s="7" t="s">
        <v>6</v>
      </c>
      <c r="C9" s="8">
        <v>180000</v>
      </c>
      <c r="D9" s="8">
        <v>120000</v>
      </c>
      <c r="E9" s="8">
        <f t="shared" si="0"/>
        <v>60000</v>
      </c>
    </row>
    <row r="10" spans="1:5" ht="20.399999999999999" customHeight="1" x14ac:dyDescent="0.3">
      <c r="A10" s="6">
        <v>45970</v>
      </c>
      <c r="B10" s="7" t="s">
        <v>8</v>
      </c>
      <c r="C10" s="8">
        <v>240000</v>
      </c>
      <c r="D10" s="8">
        <v>160000</v>
      </c>
      <c r="E10" s="8">
        <f t="shared" si="0"/>
        <v>80000</v>
      </c>
    </row>
    <row r="11" spans="1:5" ht="20.399999999999999" customHeight="1" x14ac:dyDescent="0.3">
      <c r="A11" s="6">
        <v>45971</v>
      </c>
      <c r="B11" s="7" t="s">
        <v>9</v>
      </c>
      <c r="C11" s="8">
        <v>125000</v>
      </c>
      <c r="D11" s="8">
        <v>90000</v>
      </c>
      <c r="E11" s="8">
        <f t="shared" si="0"/>
        <v>35000</v>
      </c>
    </row>
    <row r="12" spans="1:5" ht="20.399999999999999" customHeight="1" x14ac:dyDescent="0.3">
      <c r="A12" s="6">
        <v>45972</v>
      </c>
      <c r="B12" s="7" t="s">
        <v>7</v>
      </c>
      <c r="C12" s="8">
        <v>300000</v>
      </c>
      <c r="D12" s="8">
        <v>210000</v>
      </c>
      <c r="E12" s="8">
        <f t="shared" si="0"/>
        <v>90000</v>
      </c>
    </row>
    <row r="13" spans="1:5" ht="20.399999999999999" customHeight="1" x14ac:dyDescent="0.3">
      <c r="A13" s="6">
        <v>45973</v>
      </c>
      <c r="B13" s="7" t="s">
        <v>5</v>
      </c>
      <c r="C13" s="8">
        <v>260000</v>
      </c>
      <c r="D13" s="8">
        <v>180000</v>
      </c>
      <c r="E13" s="8">
        <f t="shared" si="0"/>
        <v>80000</v>
      </c>
    </row>
    <row r="14" spans="1:5" ht="20.399999999999999" customHeight="1" x14ac:dyDescent="0.3">
      <c r="A14" s="6">
        <v>45974</v>
      </c>
      <c r="B14" s="7" t="s">
        <v>8</v>
      </c>
      <c r="C14" s="8">
        <v>210000</v>
      </c>
      <c r="D14" s="8">
        <v>130000</v>
      </c>
      <c r="E14" s="8">
        <f t="shared" si="0"/>
        <v>80000</v>
      </c>
    </row>
    <row r="15" spans="1:5" ht="20.399999999999999" customHeight="1" x14ac:dyDescent="0.3">
      <c r="A15" s="6">
        <v>45975</v>
      </c>
      <c r="B15" s="7" t="s">
        <v>6</v>
      </c>
      <c r="C15" s="8">
        <v>175000</v>
      </c>
      <c r="D15" s="8">
        <v>110000</v>
      </c>
      <c r="E15" s="8">
        <f t="shared" si="0"/>
        <v>65000</v>
      </c>
    </row>
    <row r="16" spans="1:5" ht="20.399999999999999" customHeight="1" x14ac:dyDescent="0.3">
      <c r="A16" s="6">
        <v>45976</v>
      </c>
      <c r="B16" s="7" t="s">
        <v>7</v>
      </c>
      <c r="C16" s="8">
        <v>340000</v>
      </c>
      <c r="D16" s="8">
        <v>260000</v>
      </c>
      <c r="E16" s="8">
        <f>C16-D16</f>
        <v>80000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6728-671C-4903-91BA-6D6D718925E0}">
  <dimension ref="A1:H9"/>
  <sheetViews>
    <sheetView workbookViewId="0">
      <selection activeCell="D3" sqref="D3:D4"/>
    </sheetView>
  </sheetViews>
  <sheetFormatPr defaultRowHeight="14.4" x14ac:dyDescent="0.3"/>
  <cols>
    <col min="1" max="1" width="16.5546875" customWidth="1"/>
    <col min="2" max="2" width="19.109375" customWidth="1"/>
    <col min="3" max="3" width="21.88671875" customWidth="1"/>
    <col min="4" max="4" width="20.5546875" customWidth="1"/>
    <col min="5" max="5" width="17.21875" style="18" customWidth="1"/>
    <col min="7" max="7" width="20.77734375" customWidth="1"/>
    <col min="8" max="8" width="14.5546875" style="24" customWidth="1"/>
  </cols>
  <sheetData>
    <row r="1" spans="1:8" ht="23.4" customHeight="1" thickBot="1" x14ac:dyDescent="0.4">
      <c r="A1" s="13" t="s">
        <v>1</v>
      </c>
      <c r="B1" s="14" t="s">
        <v>11</v>
      </c>
      <c r="C1" s="14" t="s">
        <v>12</v>
      </c>
      <c r="D1" s="13" t="s">
        <v>10</v>
      </c>
      <c r="E1" s="23" t="s">
        <v>14</v>
      </c>
      <c r="F1" s="16"/>
      <c r="G1" s="28" t="s">
        <v>15</v>
      </c>
      <c r="H1" s="29" t="s">
        <v>5</v>
      </c>
    </row>
    <row r="2" spans="1:8" ht="25.2" customHeight="1" thickTop="1" thickBot="1" x14ac:dyDescent="0.35">
      <c r="A2" s="12" t="s">
        <v>5</v>
      </c>
      <c r="B2" s="9">
        <f>SUMIF('Raw Data'!B2:B16,"Sales",'Raw Data'!C2:C16)</f>
        <v>770000</v>
      </c>
      <c r="C2" s="9">
        <f>SUMIF('Raw Data'!B2:B16,"Sales",'Raw Data'!D2:D16)</f>
        <v>515000</v>
      </c>
      <c r="D2" s="19">
        <f>B2-C2</f>
        <v>255000</v>
      </c>
      <c r="E2" s="22">
        <f>(D2/B2)</f>
        <v>0.33116883116883117</v>
      </c>
      <c r="F2" s="17"/>
      <c r="G2" s="27" t="s">
        <v>11</v>
      </c>
      <c r="H2" s="25">
        <f>VLOOKUP(H1,A2:E6,2,TRUE)</f>
        <v>235000</v>
      </c>
    </row>
    <row r="3" spans="1:8" ht="20.25" customHeight="1" thickBot="1" x14ac:dyDescent="0.35">
      <c r="A3" s="12" t="s">
        <v>6</v>
      </c>
      <c r="B3" s="9">
        <f>SUMIF('Raw Data'!B3:B16,"Marketing",'Raw Data'!C3:C16)</f>
        <v>505000</v>
      </c>
      <c r="C3" s="9">
        <f>SUMIF('Raw Data'!B3:B16,"Marketing",'Raw Data'!D3:D16)</f>
        <v>335000</v>
      </c>
      <c r="D3" s="19">
        <f t="shared" ref="D3:D6" si="0">B3-C3</f>
        <v>170000</v>
      </c>
      <c r="E3" s="22">
        <f t="shared" ref="E3:E7" si="1">(D3/B3)</f>
        <v>0.33663366336633666</v>
      </c>
      <c r="F3" s="17"/>
      <c r="G3" s="27" t="s">
        <v>12</v>
      </c>
      <c r="H3" s="25">
        <f>VLOOKUP(H1,A2:E6,3,TRUE)</f>
        <v>175000</v>
      </c>
    </row>
    <row r="4" spans="1:8" ht="20.25" customHeight="1" thickBot="1" x14ac:dyDescent="0.35">
      <c r="A4" s="12" t="s">
        <v>7</v>
      </c>
      <c r="B4" s="9">
        <f>SUMIF('Raw Data'!B4:B16,"IT",'Raw Data'!C4:C16)</f>
        <v>1275000</v>
      </c>
      <c r="C4" s="9">
        <f>SUMIF('Raw Data'!B4:B16,"IT",'Raw Data'!D4:D16)</f>
        <v>975000</v>
      </c>
      <c r="D4" s="19">
        <f t="shared" si="0"/>
        <v>300000</v>
      </c>
      <c r="E4" s="22">
        <f t="shared" si="1"/>
        <v>0.23529411764705882</v>
      </c>
      <c r="F4" s="17"/>
      <c r="G4" s="27" t="s">
        <v>10</v>
      </c>
      <c r="H4" s="25">
        <f>VLOOKUP(H1,A2:E6,4,TRUE)</f>
        <v>60000</v>
      </c>
    </row>
    <row r="5" spans="1:8" ht="20.25" customHeight="1" thickBot="1" x14ac:dyDescent="0.35">
      <c r="A5" s="12" t="s">
        <v>8</v>
      </c>
      <c r="B5" s="9">
        <f>SUMIF('Raw Data'!B5:B17,"Operations",'Raw Data'!C5:C17)</f>
        <v>670000</v>
      </c>
      <c r="C5" s="9">
        <f>SUMIF('Raw Data'!B5:B17,"Operations",'Raw Data'!D5:D17)</f>
        <v>435000</v>
      </c>
      <c r="D5" s="19">
        <f t="shared" si="0"/>
        <v>235000</v>
      </c>
      <c r="E5" s="22">
        <f t="shared" si="1"/>
        <v>0.35074626865671643</v>
      </c>
      <c r="F5" s="17"/>
      <c r="G5" s="27" t="s">
        <v>16</v>
      </c>
      <c r="H5" s="26" t="str">
        <f>TEXT(VLOOKUP(H1,A2:E6,5,TRUE),"0.00%")</f>
        <v>25.53%</v>
      </c>
    </row>
    <row r="6" spans="1:8" ht="20.25" customHeight="1" thickBot="1" x14ac:dyDescent="0.35">
      <c r="A6" s="12" t="s">
        <v>9</v>
      </c>
      <c r="B6" s="9">
        <f>SUMIF('Raw Data'!B6:B18,"HR",'Raw Data'!C6:C18)</f>
        <v>235000</v>
      </c>
      <c r="C6" s="9">
        <f>SUMIF('Raw Data'!B6:B18,"HR",'Raw Data'!D6:D18)</f>
        <v>175000</v>
      </c>
      <c r="D6" s="19">
        <f t="shared" si="0"/>
        <v>60000</v>
      </c>
      <c r="E6" s="22">
        <f t="shared" si="1"/>
        <v>0.25531914893617019</v>
      </c>
      <c r="F6" s="17"/>
    </row>
    <row r="7" spans="1:8" ht="20.25" customHeight="1" thickBot="1" x14ac:dyDescent="0.35">
      <c r="A7" s="10" t="s">
        <v>13</v>
      </c>
      <c r="B7" s="11">
        <f>SUM(B2:B6)</f>
        <v>3455000</v>
      </c>
      <c r="C7" s="11">
        <f>SUM(C2:C6)</f>
        <v>2435000</v>
      </c>
      <c r="D7" s="20">
        <f>SUM(D2:D6)</f>
        <v>1020000</v>
      </c>
      <c r="E7" s="21">
        <f t="shared" si="1"/>
        <v>0.29522431259044862</v>
      </c>
    </row>
    <row r="9" spans="1:8" ht="16.8" customHeight="1" x14ac:dyDescent="0.3">
      <c r="D9" s="15"/>
    </row>
  </sheetData>
  <conditionalFormatting sqref="E2:E6">
    <cfRule type="cellIs" dxfId="5" priority="5" operator="between">
      <formula>0.15</formula>
      <formula>0.25</formula>
    </cfRule>
    <cfRule type="cellIs" dxfId="4" priority="6" operator="greaterThan">
      <formula>0.25</formula>
    </cfRule>
    <cfRule type="colorScale" priority="7">
      <colorScale>
        <cfvo type="percent" val="0"/>
        <cfvo type="percent" val="100"/>
        <color rgb="FFFF0000"/>
        <color rgb="FF00B050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6 E8:E1048576">
    <cfRule type="cellIs" dxfId="3" priority="1" operator="greaterThan">
      <formula>0.25</formula>
    </cfRule>
    <cfRule type="cellIs" dxfId="2" priority="2" operator="lessThan">
      <formula>0.15</formula>
    </cfRule>
    <cfRule type="cellIs" dxfId="1" priority="3" operator="between">
      <formula>0.15</formula>
      <formula>0.25</formula>
    </cfRule>
    <cfRule type="cellIs" dxfId="0" priority="4" operator="greaterThan">
      <formula>25</formula>
    </cfRule>
  </conditionalFormatting>
  <dataValidations count="1">
    <dataValidation type="list" allowBlank="1" showInputMessage="1" showErrorMessage="1" sqref="H1" xr:uid="{2DA60DB3-229D-4919-B6B6-958A539B5414}">
      <formula1>$A$2:$A$6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FF73-F54B-45DB-85F6-2D8B76279C72}">
  <dimension ref="P17:P19"/>
  <sheetViews>
    <sheetView topLeftCell="B1" workbookViewId="0">
      <selection activeCell="R22" sqref="R22"/>
    </sheetView>
  </sheetViews>
  <sheetFormatPr defaultRowHeight="14.4" x14ac:dyDescent="0.3"/>
  <cols>
    <col min="16" max="16" width="10.33203125" bestFit="1" customWidth="1"/>
  </cols>
  <sheetData>
    <row r="17" spans="16:16" x14ac:dyDescent="0.3">
      <c r="P17" s="24" t="str">
        <f>"Top Performer: "&amp;INDEX(Summary!A2:'Summary'!A6,MATCH(MAX(Summary!E2:'Summary'!E6),Summary!E2:'Summary'!E6,0))&amp;CHAR(10)&amp;"Profit margin: "&amp;TEXT(MAX(Summary!E2:E6),"0.00%")</f>
        <v>Top Performer: Operations
Profit margin: 35.07%</v>
      </c>
    </row>
    <row r="18" spans="16:16" x14ac:dyDescent="0.3">
      <c r="P18" t="str">
        <f>"Lowest Performer: "&amp;INDEX(Summary!A2:'Summary'!A6,MATCH(MIN(Summary!E2:'Summary'!E6),Summary!E2:'Summary'!E6,0))&amp;CHAR(10)&amp;"Profit margin: "&amp;TEXT(MIN(Summary!E2:E6),"0.00%")</f>
        <v>Lowest Performer: IT
Profit margin: 23.53%</v>
      </c>
    </row>
    <row r="19" spans="16:16" x14ac:dyDescent="0.3">
      <c r="P19" t="str">
        <f>"💡 Highest profit ₹" &amp; MAX('Raw Data'!E:E) &amp;
" on " &amp; TEXT(INDEX('Raw Data'!A:A, MATCH(MAX('Raw Data'!E:E), 'Raw Data'!E:E, 0)),"dd-mmm") &amp;
". Lowest profit ₹" &amp; MIN('Raw Data'!E:E) &amp;
" on " &amp; TEXT(INDEX('Raw Data'!A:A, MATCH(MIN('Raw Data'!E:E), 'Raw Data'!E:E, 0)),"dd-mmm") &amp; "."</f>
        <v>💡 Highest profit ₹95000 on 06-Nov. Lowest profit ₹25000 on 05-Nov.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</vt:lpstr>
      <vt:lpstr>charts and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verma</dc:creator>
  <cp:lastModifiedBy>ajay verma</cp:lastModifiedBy>
  <dcterms:created xsi:type="dcterms:W3CDTF">2025-11-08T08:48:38Z</dcterms:created>
  <dcterms:modified xsi:type="dcterms:W3CDTF">2025-11-11T09:21:13Z</dcterms:modified>
</cp:coreProperties>
</file>